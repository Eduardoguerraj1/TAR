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1 e A2" sheetId="1" r:id="rId4"/>
    <sheet state="visible" name="A1" sheetId="2" r:id="rId5"/>
  </sheets>
  <definedNames/>
  <calcPr/>
</workbook>
</file>

<file path=xl/sharedStrings.xml><?xml version="1.0" encoding="utf-8"?>
<sst xmlns="http://schemas.openxmlformats.org/spreadsheetml/2006/main" count="200" uniqueCount="40">
  <si>
    <t>x = conc na água cobalto (Bq/m3) x Bp /1000</t>
  </si>
  <si>
    <t>RADIONUCLÍDEO</t>
  </si>
  <si>
    <t>Conc. (Bq/m³)*</t>
  </si>
  <si>
    <t>Si 
(fração do radionuclídeo)</t>
  </si>
  <si>
    <t>Ai (Bq)</t>
  </si>
  <si>
    <t>RADIONUCLÍDEOS</t>
  </si>
  <si>
    <t>Concentração da atividade da água do mar (Bq/m³)</t>
  </si>
  <si>
    <r>
      <rPr>
        <rFont val="Aptos Narrow"/>
        <b/>
        <color rgb="FF0E2841"/>
        <sz val="10.0"/>
      </rPr>
      <t>Constante de decaimento h</t>
    </r>
    <r>
      <rPr>
        <rFont val="Aptos Narrow"/>
        <b/>
        <color rgb="FF0E2841"/>
        <sz val="10.0"/>
        <vertAlign val="superscript"/>
      </rPr>
      <t>-1</t>
    </r>
  </si>
  <si>
    <t>Fator de bioacumulação [(Bq/Kg)/(Bq/m³)]</t>
  </si>
  <si>
    <r>
      <rPr>
        <rFont val="Aptos Narrow"/>
        <b/>
        <color rgb="FF0E2841"/>
        <sz val="10.0"/>
      </rPr>
      <t>K</t>
    </r>
    <r>
      <rPr>
        <rFont val="Aptos Narrow"/>
        <b/>
        <color rgb="FF0E2841"/>
        <sz val="10.0"/>
        <vertAlign val="subscript"/>
      </rPr>
      <t>d</t>
    </r>
    <r>
      <rPr>
        <rFont val="Aptos Narrow"/>
        <b/>
        <color rgb="FF0E2841"/>
        <sz val="10.0"/>
      </rPr>
      <t>(L/Kg) Água Salina</t>
    </r>
  </si>
  <si>
    <t>Concentração do Radionuclídeo (Bq/Kg)</t>
  </si>
  <si>
    <t xml:space="preserve">Limites para Notificação - Report Level e LLD - NUREG 1301
</t>
  </si>
  <si>
    <t>Peixe</t>
  </si>
  <si>
    <t>Invertebrados</t>
  </si>
  <si>
    <t>Sedimento</t>
  </si>
  <si>
    <t xml:space="preserve">Sedimento </t>
  </si>
  <si>
    <t>Água (Bq/m³)</t>
  </si>
  <si>
    <t>Peixe (Bq/Kg)</t>
  </si>
  <si>
    <t>Invertebrado (Bq/Kg)</t>
  </si>
  <si>
    <t>Sedimento (Bq/Kg)</t>
  </si>
  <si>
    <t>Co-58</t>
  </si>
  <si>
    <t>*</t>
  </si>
  <si>
    <t>Co-60</t>
  </si>
  <si>
    <t>Cr-51</t>
  </si>
  <si>
    <t>Cs-137</t>
  </si>
  <si>
    <t>Mn-54</t>
  </si>
  <si>
    <t>Sb-124</t>
  </si>
  <si>
    <t>Sb-125</t>
  </si>
  <si>
    <t>Zr-95</t>
  </si>
  <si>
    <t>Total</t>
  </si>
  <si>
    <t>* Dados fornecidos pela Divisão de Química de Angra 1 (DQAU.O)</t>
  </si>
  <si>
    <t>TAR</t>
  </si>
  <si>
    <t>ANGRA 1 e 2</t>
  </si>
  <si>
    <t>Capacidade (m³)</t>
  </si>
  <si>
    <t>Vazão de circulação (m³/ano)</t>
  </si>
  <si>
    <t>Atividade (Bq/ano)</t>
  </si>
  <si>
    <r>
      <rPr>
        <rFont val="Aptos Narrow"/>
        <b/>
        <color rgb="FF0E2841"/>
        <sz val="10.0"/>
      </rPr>
      <t>Constante de decaimento h</t>
    </r>
    <r>
      <rPr>
        <rFont val="Aptos Narrow"/>
        <b/>
        <color rgb="FF0E2841"/>
        <sz val="10.0"/>
        <vertAlign val="superscript"/>
      </rPr>
      <t>-1</t>
    </r>
  </si>
  <si>
    <r>
      <rPr>
        <rFont val="Aptos Narrow"/>
        <b/>
        <color rgb="FF0E2841"/>
        <sz val="10.0"/>
      </rPr>
      <t>K</t>
    </r>
    <r>
      <rPr>
        <rFont val="Aptos Narrow"/>
        <b/>
        <color rgb="FF0E2841"/>
        <sz val="10.0"/>
        <vertAlign val="subscript"/>
      </rPr>
      <t>d</t>
    </r>
    <r>
      <rPr>
        <rFont val="Aptos Narrow"/>
        <b/>
        <color rgb="FF0E2841"/>
        <sz val="10.0"/>
      </rPr>
      <t>(L/Kg) Água Salina</t>
    </r>
  </si>
  <si>
    <t xml:space="preserve">Limites para Notificação e LLD - NUREG 1301 E Reg. Guide 4.8
</t>
  </si>
  <si>
    <t>ANGRA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</si>
</sst>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E+00"/>
    <numFmt numFmtId="165" formatCode="0.000E+00"/>
  </numFmts>
  <fonts count="5">
    <font>
      <sz val="11.0"/>
      <color/>
      <name val="Arial"/>
      <scheme val="minor"/>
    </font>
    <font>
      <sz val="11.0"/>
      <color/>
      <name val="Aptos Narrow"/>
    </font>
    <font>
      <b/>
      <sz val="10.0"/>
      <color rgb="FF0E2841"/>
      <name val="Aptos Narrow"/>
    </font>
    <font/>
    <font>
      <b/>
      <sz val="9.0"/>
      <color rgb="FF0E2841"/>
      <name val="Aptos Narrow"/>
    </font>
  </fonts>
  <fills count="2">
    <fill>
      <patternFill patternType="none"/>
    </fill>
    <fill>
      <patternFill patternType="lightGray"/>
    </fill>
  </fills>
  <borders count="9">
    <border/>
    <border>
      <bottom style="thick">
        <color rgb="FF64BDE6"/>
      </bottom>
    </border>
    <border>
      <top style="thick">
        <color rgb="FF64BDE6"/>
      </top>
      <bottom style="thick">
        <color rgb="FF64BDE6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Border="1" applyFont="1"/>
    <xf borderId="2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1" fillId="0" fontId="4" numFmtId="0" xfId="0" applyAlignment="1" applyBorder="1" applyFont="1">
      <alignment horizontal="center" shrinkToFit="0" vertical="center" wrapText="1"/>
    </xf>
    <xf borderId="1" fillId="0" fontId="4" numFmtId="11" xfId="0" applyAlignment="1" applyBorder="1" applyFont="1" applyNumberFormat="1">
      <alignment horizontal="center" shrinkToFit="0" vertical="center" wrapText="1"/>
    </xf>
    <xf borderId="1" fillId="0" fontId="4" numFmtId="164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11" xfId="0" applyAlignment="1" applyFont="1" applyNumberFormat="1">
      <alignment horizontal="center" shrinkToFit="0" vertical="center" wrapText="1"/>
    </xf>
    <xf borderId="3" fillId="0" fontId="1" numFmtId="0" xfId="0" applyAlignment="1" applyBorder="1" applyFont="1">
      <alignment horizontal="center" vertical="center"/>
    </xf>
    <xf borderId="4" fillId="0" fontId="3" numFmtId="0" xfId="0" applyBorder="1" applyFont="1"/>
    <xf borderId="0" fillId="0" fontId="1" numFmtId="11" xfId="0" applyAlignment="1" applyFont="1" applyNumberFormat="1">
      <alignment horizontal="center"/>
    </xf>
    <xf borderId="5" fillId="0" fontId="1" numFmtId="0" xfId="0" applyAlignment="1" applyBorder="1" applyFont="1">
      <alignment horizontal="center" vertical="center"/>
    </xf>
    <xf borderId="6" fillId="0" fontId="1" numFmtId="11" xfId="0" applyAlignment="1" applyBorder="1" applyFont="1" applyNumberFormat="1">
      <alignment horizontal="center" vertical="center"/>
    </xf>
    <xf borderId="5" fillId="0" fontId="1" numFmtId="0" xfId="0" applyAlignment="1" applyBorder="1" applyFont="1">
      <alignment horizontal="center" shrinkToFit="0" vertical="center" wrapText="1"/>
    </xf>
    <xf borderId="6" fillId="0" fontId="1" numFmtId="165" xfId="0" applyAlignment="1" applyBorder="1" applyFont="1" applyNumberFormat="1">
      <alignment horizontal="center" vertical="center"/>
    </xf>
    <xf borderId="0" fillId="0" fontId="1" numFmtId="11" xfId="0" applyAlignment="1" applyFont="1" applyNumberFormat="1">
      <alignment horizontal="center" vertical="center"/>
    </xf>
    <xf borderId="7" fillId="0" fontId="1" numFmtId="0" xfId="0" applyAlignment="1" applyBorder="1" applyFont="1">
      <alignment horizontal="center" vertical="center"/>
    </xf>
    <xf borderId="8" fillId="0" fontId="1" numFmtId="11" xfId="0" applyAlignment="1" applyBorder="1" applyFont="1" applyNumberFormat="1">
      <alignment horizontal="center" vertical="center"/>
    </xf>
    <xf borderId="7" fillId="0" fontId="3" numFmtId="0" xfId="0" applyBorder="1" applyFont="1"/>
    <xf borderId="0" fillId="0" fontId="1" numFmtId="0" xfId="0" applyAlignment="1" applyFont="1">
      <alignment shrinkToFit="0" wrapText="1"/>
    </xf>
    <xf borderId="0" fillId="0" fontId="1" numFmtId="11" xfId="0" applyAlignment="1" applyFont="1" applyNumberFormat="1">
      <alignment horizontal="center" shrinkToFit="0" wrapText="1"/>
    </xf>
    <xf borderId="0" fillId="0" fontId="1" numFmtId="11" xfId="0" applyFont="1" applyNumberForma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581025</xdr:colOff>
      <xdr:row>14</xdr:row>
      <xdr:rowOff>19050</xdr:rowOff>
    </xdr:from>
    <xdr:ext cx="3200400" cy="2743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581025</xdr:colOff>
      <xdr:row>14</xdr:row>
      <xdr:rowOff>38100</xdr:rowOff>
    </xdr:from>
    <xdr:ext cx="3200400" cy="27717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71"/>
    <col customWidth="1" min="3" max="3" width="14.43"/>
    <col customWidth="1" min="4" max="4" width="13.14"/>
    <col customWidth="1" min="5" max="5" width="11.86"/>
    <col customWidth="1" min="6" max="6" width="9.57"/>
    <col customWidth="1" min="7" max="7" width="10.71"/>
    <col customWidth="1" min="8" max="8" width="9.29"/>
    <col customWidth="1" min="9" max="9" width="7.43"/>
    <col customWidth="1" min="10" max="10" width="10.14"/>
    <col customWidth="1" min="11" max="11" width="8.71"/>
    <col customWidth="1" min="12" max="12" width="9.43"/>
    <col customWidth="1" min="13" max="13" width="8.71"/>
    <col customWidth="1" hidden="1" min="14" max="15" width="10.14"/>
    <col customWidth="1" min="16" max="16" width="8.86"/>
    <col customWidth="1" min="17" max="17" width="8.43"/>
    <col customWidth="1" min="18" max="18" width="9.14"/>
    <col customWidth="1" min="19" max="19" width="9.43"/>
    <col customWidth="1" min="20" max="20" width="9.57"/>
    <col customWidth="1" min="21" max="21" width="9.0"/>
    <col customWidth="1" min="22" max="22" width="8.29"/>
    <col customWidth="1" min="23" max="23" width="8.57"/>
    <col customWidth="1" min="24" max="24" width="8.43"/>
    <col customWidth="1" min="25" max="25" width="9.14"/>
  </cols>
  <sheetData>
    <row r="1" ht="30.0" customHeight="1">
      <c r="B1" s="1" t="s">
        <v>0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/>
      <c r="N2" s="2"/>
      <c r="O2" s="2"/>
      <c r="P2" s="2"/>
      <c r="Q2" s="2"/>
      <c r="R2" s="2"/>
      <c r="S2" s="2"/>
      <c r="T2" s="2"/>
      <c r="U2" s="1"/>
      <c r="V2" s="1"/>
      <c r="W2" s="1"/>
      <c r="X2" s="1"/>
      <c r="Y2" s="2"/>
    </row>
    <row r="3" ht="41.25" customHeight="1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4" t="s">
        <v>8</v>
      </c>
      <c r="J3" s="5"/>
      <c r="K3" s="4" t="s">
        <v>9</v>
      </c>
      <c r="L3" s="4" t="s">
        <v>10</v>
      </c>
      <c r="M3" s="5"/>
      <c r="N3" s="5"/>
      <c r="O3" s="5"/>
      <c r="P3" s="5"/>
      <c r="Q3" s="4" t="s">
        <v>11</v>
      </c>
      <c r="R3" s="5"/>
      <c r="S3" s="5"/>
      <c r="T3" s="5"/>
      <c r="U3" s="5"/>
      <c r="V3" s="5"/>
      <c r="W3" s="5"/>
      <c r="X3" s="5"/>
      <c r="Y3" s="5"/>
    </row>
    <row r="4" ht="25.5" customHeight="1">
      <c r="B4" s="5"/>
      <c r="C4" s="5"/>
      <c r="D4" s="5"/>
      <c r="E4" s="5"/>
      <c r="F4" s="5"/>
      <c r="G4" s="5"/>
      <c r="H4" s="5"/>
      <c r="I4" s="4" t="s">
        <v>12</v>
      </c>
      <c r="J4" s="4" t="s">
        <v>13</v>
      </c>
      <c r="K4" s="4" t="s">
        <v>14</v>
      </c>
      <c r="L4" s="4" t="s">
        <v>12</v>
      </c>
      <c r="M4" s="4" t="s">
        <v>13</v>
      </c>
      <c r="N4" s="4"/>
      <c r="O4" s="4"/>
      <c r="P4" s="4" t="s">
        <v>15</v>
      </c>
      <c r="Q4" s="4"/>
      <c r="R4" s="6" t="s">
        <v>16</v>
      </c>
      <c r="S4" s="7"/>
      <c r="T4" s="6" t="s">
        <v>17</v>
      </c>
      <c r="U4" s="7"/>
      <c r="V4" s="6" t="s">
        <v>18</v>
      </c>
      <c r="W4" s="7"/>
      <c r="X4" s="6" t="s">
        <v>19</v>
      </c>
      <c r="Y4" s="7"/>
    </row>
    <row r="5">
      <c r="B5" s="8" t="s">
        <v>20</v>
      </c>
      <c r="C5" s="9" t="str">
        <f>1.52*10^8</f>
        <v>1.52E+08</v>
      </c>
      <c r="D5" s="9" t="str">
        <f>7.59*10^-1</f>
        <v>7.59E-01</v>
      </c>
      <c r="E5" s="9">
        <v>2.04E11</v>
      </c>
      <c r="F5" s="8" t="s">
        <v>20</v>
      </c>
      <c r="G5" s="9" t="str">
        <f t="shared" ref="G5:G12" si="1">E5/$E$17</f>
        <v>1.85E+01</v>
      </c>
      <c r="H5" s="9" t="str">
        <f>0.693/(70.86*24)</f>
        <v>4.07E-04</v>
      </c>
      <c r="I5" s="9">
        <v>1.0</v>
      </c>
      <c r="J5" s="9">
        <v>5.0</v>
      </c>
      <c r="K5" s="9">
        <v>200000.0</v>
      </c>
      <c r="L5" s="9" t="str">
        <f t="shared" ref="L5:L12" si="2">G5*I5</f>
        <v>1.85E+01</v>
      </c>
      <c r="M5" s="9" t="str">
        <f t="shared" ref="M5:M12" si="3">G5*J5</f>
        <v>9.24E+01</v>
      </c>
      <c r="N5" s="9" t="str">
        <f t="shared" ref="N5:N12" si="4">EXP(-H5*262980)</f>
        <v>2.88E-47</v>
      </c>
      <c r="O5" s="9" t="str">
        <f t="shared" ref="O5:O12" si="5">1-N5</f>
        <v>1.00E+00</v>
      </c>
      <c r="P5" s="9" t="str">
        <f t="shared" ref="P5:P12" si="6">G5*0.000072*(O5/H5)</f>
        <v>3.27E+00</v>
      </c>
      <c r="Q5" s="8" t="s">
        <v>20</v>
      </c>
      <c r="R5" s="9">
        <v>560.0</v>
      </c>
      <c r="S5" s="9">
        <v>37000.0</v>
      </c>
      <c r="T5" s="9">
        <v>9.62</v>
      </c>
      <c r="U5" s="9">
        <v>370.0</v>
      </c>
      <c r="V5" s="9" t="s">
        <v>21</v>
      </c>
      <c r="W5" s="9" t="s">
        <v>21</v>
      </c>
      <c r="X5" s="9" t="s">
        <v>21</v>
      </c>
      <c r="Y5" s="9" t="s">
        <v>21</v>
      </c>
    </row>
    <row r="6">
      <c r="B6" s="8" t="s">
        <v>22</v>
      </c>
      <c r="C6" s="9">
        <v>6820000.0</v>
      </c>
      <c r="D6" s="9">
        <v>0.034</v>
      </c>
      <c r="E6" s="9">
        <v>9.16E9</v>
      </c>
      <c r="F6" s="8" t="s">
        <v>22</v>
      </c>
      <c r="G6" s="9" t="str">
        <f t="shared" si="1"/>
        <v>8.30E-01</v>
      </c>
      <c r="H6" s="9" t="str">
        <f>0.693/(1925.28*24)</f>
        <v>1.50E-05</v>
      </c>
      <c r="I6" s="9">
        <v>1.0</v>
      </c>
      <c r="J6" s="9">
        <v>5.0</v>
      </c>
      <c r="K6" s="9">
        <v>2.0E8</v>
      </c>
      <c r="L6" s="9" t="str">
        <f t="shared" si="2"/>
        <v>8.30E-01</v>
      </c>
      <c r="M6" s="9" t="str">
        <f t="shared" si="3"/>
        <v>4.15E+00</v>
      </c>
      <c r="N6" s="9" t="str">
        <f t="shared" si="4"/>
        <v>1.94E-02</v>
      </c>
      <c r="O6" s="9" t="str">
        <f t="shared" si="5"/>
        <v>9.81E-01</v>
      </c>
      <c r="P6" s="9" t="str">
        <f t="shared" si="6"/>
        <v>3.91E+00</v>
      </c>
      <c r="Q6" s="8" t="s">
        <v>22</v>
      </c>
      <c r="R6" s="9">
        <v>560.0</v>
      </c>
      <c r="S6" s="9">
        <v>11100.0</v>
      </c>
      <c r="T6" s="9">
        <v>4.81</v>
      </c>
      <c r="U6" s="9">
        <v>370.0</v>
      </c>
      <c r="V6" s="9" t="s">
        <v>21</v>
      </c>
      <c r="W6" s="9" t="s">
        <v>21</v>
      </c>
      <c r="X6" s="9" t="s">
        <v>21</v>
      </c>
      <c r="Y6" s="9" t="s">
        <v>21</v>
      </c>
    </row>
    <row r="7">
      <c r="B7" s="8" t="s">
        <v>23</v>
      </c>
      <c r="C7" s="9">
        <v>3.35E7</v>
      </c>
      <c r="D7" s="9">
        <v>0.167</v>
      </c>
      <c r="E7" s="9">
        <v>4.5E10</v>
      </c>
      <c r="F7" s="8" t="s">
        <v>23</v>
      </c>
      <c r="G7" s="9" t="str">
        <f t="shared" si="1"/>
        <v>4.08E+00</v>
      </c>
      <c r="H7" s="9" t="str">
        <f>0.693/(27.704*24)</f>
        <v>1.04E-03</v>
      </c>
      <c r="I7" s="9">
        <v>0.2</v>
      </c>
      <c r="J7" s="9">
        <v>0.8</v>
      </c>
      <c r="K7" s="9">
        <v>50000.0</v>
      </c>
      <c r="L7" s="9" t="str">
        <f t="shared" si="2"/>
        <v>8.16E-01</v>
      </c>
      <c r="M7" s="9" t="str">
        <f t="shared" si="3"/>
        <v>3.26E+00</v>
      </c>
      <c r="N7" s="9" t="str">
        <f t="shared" si="4"/>
        <v>9.16E-120</v>
      </c>
      <c r="O7" s="9" t="str">
        <f t="shared" si="5"/>
        <v>1.00E+00</v>
      </c>
      <c r="P7" s="9" t="str">
        <f t="shared" si="6"/>
        <v>2.82E-01</v>
      </c>
      <c r="Q7" s="8" t="s">
        <v>23</v>
      </c>
      <c r="R7" s="9" t="s">
        <v>21</v>
      </c>
      <c r="S7" s="9" t="s">
        <v>21</v>
      </c>
      <c r="T7" s="9" t="s">
        <v>21</v>
      </c>
      <c r="U7" s="9" t="s">
        <v>21</v>
      </c>
      <c r="V7" s="9" t="s">
        <v>21</v>
      </c>
      <c r="W7" s="9" t="s">
        <v>21</v>
      </c>
      <c r="X7" s="9" t="s">
        <v>21</v>
      </c>
      <c r="Y7" s="9" t="s">
        <v>21</v>
      </c>
    </row>
    <row r="8">
      <c r="B8" s="8" t="s">
        <v>24</v>
      </c>
      <c r="C8" s="9" t="str">
        <f>7.14*10^5</f>
        <v>7.14E+05</v>
      </c>
      <c r="D8" s="9" t="str">
        <f>3.56*10^-3</f>
        <v>3.56E-03</v>
      </c>
      <c r="E8" s="9">
        <v>9.59E8</v>
      </c>
      <c r="F8" s="8" t="s">
        <v>24</v>
      </c>
      <c r="G8" s="9" t="str">
        <f t="shared" si="1"/>
        <v>8.69E-02</v>
      </c>
      <c r="H8" s="9" t="str">
        <f>0.693/(30*365*24)</f>
        <v>2.64E-06</v>
      </c>
      <c r="I8" s="8">
        <v>0.1</v>
      </c>
      <c r="J8" s="8">
        <v>0.03</v>
      </c>
      <c r="K8" s="9">
        <v>3000.0</v>
      </c>
      <c r="L8" s="9" t="str">
        <f t="shared" si="2"/>
        <v>8.69E-03</v>
      </c>
      <c r="M8" s="9" t="str">
        <f t="shared" si="3"/>
        <v>2.61E-03</v>
      </c>
      <c r="N8" s="9" t="str">
        <f t="shared" si="4"/>
        <v>5.00E-01</v>
      </c>
      <c r="O8" s="9" t="str">
        <f t="shared" si="5"/>
        <v>5.00E-01</v>
      </c>
      <c r="P8" s="9" t="str">
        <f t="shared" si="6"/>
        <v>1.19E+00</v>
      </c>
      <c r="Q8" s="8" t="s">
        <v>24</v>
      </c>
      <c r="R8" s="9">
        <v>560.0</v>
      </c>
      <c r="S8" s="9">
        <v>1850.0</v>
      </c>
      <c r="T8" s="9">
        <v>4.81</v>
      </c>
      <c r="U8" s="9">
        <v>74.0</v>
      </c>
      <c r="V8" s="9" t="s">
        <v>21</v>
      </c>
      <c r="W8" s="9" t="s">
        <v>21</v>
      </c>
      <c r="X8" s="9">
        <v>6.67</v>
      </c>
      <c r="Y8" s="9">
        <v>5.45</v>
      </c>
    </row>
    <row r="9">
      <c r="B9" s="8" t="s">
        <v>25</v>
      </c>
      <c r="C9" s="9">
        <v>1600000.0</v>
      </c>
      <c r="D9" s="9">
        <v>0.00799</v>
      </c>
      <c r="E9" s="9">
        <v>2.15E9</v>
      </c>
      <c r="F9" s="8" t="s">
        <v>25</v>
      </c>
      <c r="G9" s="9" t="str">
        <f t="shared" si="1"/>
        <v>1.95E-01</v>
      </c>
      <c r="H9" s="9" t="str">
        <f>0.693/(312.2*24)</f>
        <v>9.25E-05</v>
      </c>
      <c r="I9" s="8">
        <v>0.4</v>
      </c>
      <c r="J9" s="8">
        <v>5.0</v>
      </c>
      <c r="K9" s="9">
        <v>200000.0</v>
      </c>
      <c r="L9" s="9" t="str">
        <f t="shared" si="2"/>
        <v>7.79E-02</v>
      </c>
      <c r="M9" s="9" t="str">
        <f t="shared" si="3"/>
        <v>9.74E-01</v>
      </c>
      <c r="N9" s="9" t="str">
        <f t="shared" si="4"/>
        <v>2.73E-11</v>
      </c>
      <c r="O9" s="9" t="str">
        <f t="shared" si="5"/>
        <v>1.00E+00</v>
      </c>
      <c r="P9" s="9" t="str">
        <f t="shared" si="6"/>
        <v>1.52E-01</v>
      </c>
      <c r="Q9" s="8" t="s">
        <v>25</v>
      </c>
      <c r="R9" s="9">
        <v>560.0</v>
      </c>
      <c r="S9" s="9">
        <v>37000.0</v>
      </c>
      <c r="T9" s="9">
        <v>4.81</v>
      </c>
      <c r="U9" s="9">
        <v>1110.0</v>
      </c>
      <c r="V9" s="9" t="s">
        <v>21</v>
      </c>
      <c r="W9" s="9" t="s">
        <v>21</v>
      </c>
      <c r="X9" s="9" t="s">
        <v>21</v>
      </c>
      <c r="Y9" s="9" t="s">
        <v>21</v>
      </c>
    </row>
    <row r="10">
      <c r="B10" s="8" t="s">
        <v>26</v>
      </c>
      <c r="C10" s="9">
        <v>4260000.0</v>
      </c>
      <c r="D10" s="9">
        <v>0.0213</v>
      </c>
      <c r="E10" s="9">
        <v>5.72E9</v>
      </c>
      <c r="F10" s="8" t="s">
        <v>26</v>
      </c>
      <c r="G10" s="9" t="str">
        <f t="shared" si="1"/>
        <v>5.18E-01</v>
      </c>
      <c r="H10" s="9" t="str">
        <f>0.693/(60.2*24)</f>
        <v>4.80E-04</v>
      </c>
      <c r="I10" s="8">
        <v>0.4</v>
      </c>
      <c r="J10" s="8">
        <v>0.4</v>
      </c>
      <c r="K10" s="9">
        <v>1000.0</v>
      </c>
      <c r="L10" s="9" t="str">
        <f t="shared" si="2"/>
        <v>2.07E-01</v>
      </c>
      <c r="M10" s="9" t="str">
        <f t="shared" si="3"/>
        <v>2.07E-01</v>
      </c>
      <c r="N10" s="9" t="str">
        <f t="shared" si="4"/>
        <v>1.65E-55</v>
      </c>
      <c r="O10" s="9" t="str">
        <f t="shared" si="5"/>
        <v>1.00E+00</v>
      </c>
      <c r="P10" s="9" t="str">
        <f t="shared" si="6"/>
        <v>7.78E-02</v>
      </c>
      <c r="Q10" s="8" t="s">
        <v>26</v>
      </c>
      <c r="R10" s="9" t="s">
        <v>21</v>
      </c>
      <c r="S10" s="9" t="s">
        <v>21</v>
      </c>
      <c r="T10" s="9" t="s">
        <v>21</v>
      </c>
      <c r="U10" s="9" t="s">
        <v>21</v>
      </c>
      <c r="V10" s="9" t="s">
        <v>21</v>
      </c>
      <c r="W10" s="9" t="s">
        <v>21</v>
      </c>
      <c r="X10" s="9" t="s">
        <v>21</v>
      </c>
      <c r="Y10" s="9" t="s">
        <v>21</v>
      </c>
    </row>
    <row r="11">
      <c r="B11" s="8" t="s">
        <v>27</v>
      </c>
      <c r="C11" s="9">
        <v>1160000.0</v>
      </c>
      <c r="D11" s="9">
        <v>0.00579</v>
      </c>
      <c r="E11" s="9">
        <v>1.56E9</v>
      </c>
      <c r="F11" s="8" t="s">
        <v>27</v>
      </c>
      <c r="G11" s="9" t="str">
        <f t="shared" si="1"/>
        <v>1.41E-01</v>
      </c>
      <c r="H11" s="9" t="str">
        <f>0.693/(2.76*365*24)</f>
        <v>2.87E-05</v>
      </c>
      <c r="I11" s="8">
        <v>0.4</v>
      </c>
      <c r="J11" s="8">
        <v>0.4</v>
      </c>
      <c r="K11" s="9">
        <v>1000.0</v>
      </c>
      <c r="L11" s="9" t="str">
        <f t="shared" si="2"/>
        <v>5.65E-02</v>
      </c>
      <c r="M11" s="9" t="str">
        <f t="shared" si="3"/>
        <v>5.65E-02</v>
      </c>
      <c r="N11" s="9" t="str">
        <f t="shared" si="4"/>
        <v>5.33E-04</v>
      </c>
      <c r="O11" s="9" t="str">
        <f t="shared" si="5"/>
        <v>9.99E-01</v>
      </c>
      <c r="P11" s="9" t="str">
        <f t="shared" si="6"/>
        <v>3.55E-01</v>
      </c>
      <c r="Q11" s="8" t="s">
        <v>27</v>
      </c>
      <c r="R11" s="9" t="s">
        <v>21</v>
      </c>
      <c r="S11" s="9" t="s">
        <v>21</v>
      </c>
      <c r="T11" s="9" t="s">
        <v>21</v>
      </c>
      <c r="U11" s="9" t="s">
        <v>21</v>
      </c>
      <c r="V11" s="9" t="s">
        <v>21</v>
      </c>
      <c r="W11" s="9" t="s">
        <v>21</v>
      </c>
      <c r="X11" s="9" t="s">
        <v>21</v>
      </c>
      <c r="Y11" s="9" t="s">
        <v>21</v>
      </c>
    </row>
    <row r="12">
      <c r="B12" s="8" t="s">
        <v>28</v>
      </c>
      <c r="C12" s="9">
        <v>273000.0</v>
      </c>
      <c r="D12" s="9">
        <v>0.00136</v>
      </c>
      <c r="E12" s="9">
        <v>3.67E8</v>
      </c>
      <c r="F12" s="8" t="s">
        <v>28</v>
      </c>
      <c r="G12" s="9" t="str">
        <f t="shared" si="1"/>
        <v>3.33E-02</v>
      </c>
      <c r="H12" s="9" t="str">
        <f>0.693/(64.032*24)</f>
        <v>4.51E-04</v>
      </c>
      <c r="I12" s="8">
        <v>0.02</v>
      </c>
      <c r="J12" s="8">
        <v>5.0</v>
      </c>
      <c r="K12" s="9">
        <v>1000000.0</v>
      </c>
      <c r="L12" s="9" t="str">
        <f t="shared" si="2"/>
        <v>6.65E-04</v>
      </c>
      <c r="M12" s="9" t="str">
        <f t="shared" si="3"/>
        <v>1.66E-01</v>
      </c>
      <c r="N12" s="9" t="str">
        <f t="shared" si="4"/>
        <v>3.14E-52</v>
      </c>
      <c r="O12" s="9" t="str">
        <f t="shared" si="5"/>
        <v>1.00E+00</v>
      </c>
      <c r="P12" s="9" t="str">
        <f t="shared" si="6"/>
        <v>5.31E-03</v>
      </c>
      <c r="Q12" s="8" t="s">
        <v>28</v>
      </c>
      <c r="R12" s="9" t="s">
        <v>21</v>
      </c>
      <c r="S12" s="9" t="s">
        <v>21</v>
      </c>
      <c r="T12" s="9" t="s">
        <v>21</v>
      </c>
      <c r="U12" s="9" t="s">
        <v>21</v>
      </c>
      <c r="V12" s="9" t="s">
        <v>21</v>
      </c>
      <c r="W12" s="9" t="s">
        <v>21</v>
      </c>
      <c r="X12" s="9" t="s">
        <v>21</v>
      </c>
      <c r="Y12" s="9" t="s">
        <v>21</v>
      </c>
    </row>
    <row r="13">
      <c r="B13" s="8" t="s">
        <v>29</v>
      </c>
      <c r="C13" s="9">
        <v>2.0E8</v>
      </c>
      <c r="D13" s="9">
        <v>1.0</v>
      </c>
      <c r="E13" s="9">
        <v>2.69E11</v>
      </c>
      <c r="F13" s="8" t="s">
        <v>29</v>
      </c>
      <c r="G13" s="10" t="str">
        <f>E13/E17</f>
        <v>2.4377E+01</v>
      </c>
      <c r="H13" s="9"/>
      <c r="I13" s="8"/>
      <c r="J13" s="8"/>
      <c r="K13" s="8"/>
      <c r="L13" s="9"/>
      <c r="M13" s="11"/>
      <c r="N13" s="11"/>
      <c r="O13" s="11"/>
      <c r="P13" s="11"/>
      <c r="Q13" s="11"/>
      <c r="R13" s="11"/>
      <c r="S13" s="9"/>
      <c r="T13" s="9"/>
      <c r="U13" s="9"/>
      <c r="V13" s="9"/>
      <c r="W13" s="11"/>
      <c r="X13" s="11"/>
      <c r="Y13" s="11"/>
    </row>
    <row r="14">
      <c r="B14" s="12" t="s">
        <v>30</v>
      </c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>
      <c r="B15" s="14"/>
      <c r="C15" s="15"/>
      <c r="D15" s="15"/>
      <c r="E15" s="15"/>
      <c r="F15" s="15"/>
      <c r="G15" s="14"/>
      <c r="H15" s="14"/>
      <c r="I15" s="14"/>
      <c r="J15" s="14"/>
      <c r="K15" s="14"/>
      <c r="L15" s="14"/>
      <c r="M15" s="13"/>
      <c r="N15" s="13"/>
      <c r="O15" s="13"/>
      <c r="P15" s="13"/>
      <c r="Q15" s="13"/>
      <c r="R15" s="13"/>
      <c r="S15" s="13"/>
      <c r="T15" s="13"/>
      <c r="U15" s="14"/>
      <c r="V15" s="14"/>
      <c r="W15" s="14"/>
      <c r="X15" s="14"/>
      <c r="Y15" s="13"/>
    </row>
    <row r="16">
      <c r="B16" s="16" t="s">
        <v>31</v>
      </c>
      <c r="C16" s="17"/>
      <c r="D16" s="16" t="s">
        <v>32</v>
      </c>
      <c r="E16" s="17"/>
      <c r="F16" s="13"/>
      <c r="G16" s="1"/>
      <c r="H16" s="1"/>
      <c r="I16" s="1"/>
      <c r="J16" s="1"/>
      <c r="K16" s="1"/>
      <c r="L16" s="1"/>
      <c r="M16" s="18"/>
      <c r="N16" s="2"/>
      <c r="O16" s="2"/>
      <c r="P16" s="18"/>
      <c r="Q16" s="18"/>
      <c r="R16" s="18"/>
      <c r="S16" s="2"/>
      <c r="T16" s="2"/>
      <c r="U16" s="1"/>
      <c r="V16" s="1"/>
      <c r="W16" s="1"/>
      <c r="X16" s="1"/>
      <c r="Y16" s="2"/>
    </row>
    <row r="17">
      <c r="B17" s="19" t="s">
        <v>33</v>
      </c>
      <c r="C17" s="20">
        <v>1342.0</v>
      </c>
      <c r="D17" s="21" t="s">
        <v>34</v>
      </c>
      <c r="E17" s="22" t="str">
        <f>(8.97*1000000000)+((6*10*386000000/12)+(4*10*36800000/12)+(2*2*36800000/12))</f>
        <v>1.103E+10</v>
      </c>
      <c r="F17" s="23"/>
      <c r="G17" s="1"/>
      <c r="H17" s="1"/>
      <c r="I17" s="1"/>
      <c r="J17" s="1"/>
      <c r="K17" s="1"/>
      <c r="L17" s="1"/>
      <c r="M17" s="2"/>
      <c r="N17" s="2"/>
      <c r="O17" s="2"/>
      <c r="P17" s="2"/>
      <c r="Q17" s="2"/>
      <c r="R17" s="2"/>
      <c r="S17" s="2"/>
      <c r="T17" s="2"/>
      <c r="U17" s="1"/>
      <c r="V17" s="1"/>
      <c r="W17" s="1"/>
      <c r="X17" s="1"/>
      <c r="Y17" s="2"/>
    </row>
    <row r="18">
      <c r="B18" s="24" t="s">
        <v>35</v>
      </c>
      <c r="C18" s="25" t="str">
        <f>2.69*10^11</f>
        <v>2.69E+11</v>
      </c>
      <c r="D18" s="26"/>
      <c r="E18" s="25"/>
      <c r="F18" s="23"/>
      <c r="G18" s="27"/>
      <c r="H18" s="27"/>
      <c r="I18" s="27"/>
      <c r="J18" s="28"/>
      <c r="Q18" s="28"/>
      <c r="R18" s="28"/>
      <c r="U18" s="27"/>
      <c r="V18" s="27"/>
      <c r="W18" s="27"/>
      <c r="X18" s="27"/>
    </row>
    <row r="19">
      <c r="B19" s="13"/>
      <c r="C19" s="23"/>
      <c r="D19" s="27"/>
      <c r="E19" s="27"/>
      <c r="F19" s="27"/>
      <c r="G19" s="27"/>
      <c r="H19" s="27"/>
      <c r="I19" s="27"/>
      <c r="J19" s="27"/>
      <c r="K19" s="27"/>
      <c r="L19" s="27"/>
      <c r="U19" s="27"/>
      <c r="V19" s="27"/>
      <c r="W19" s="27"/>
      <c r="X19" s="27"/>
    </row>
    <row r="20"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U20" s="27"/>
      <c r="V20" s="27"/>
      <c r="W20" s="27"/>
      <c r="X20" s="27"/>
    </row>
    <row r="21" ht="15.75" customHeight="1"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P21" s="29"/>
      <c r="Q21" s="29"/>
      <c r="R21" s="29"/>
      <c r="U21" s="27"/>
      <c r="V21" s="27"/>
      <c r="W21" s="27"/>
      <c r="X21" s="27"/>
    </row>
    <row r="22" ht="15.75" customHeight="1"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U22" s="27"/>
      <c r="V22" s="27"/>
      <c r="W22" s="27"/>
      <c r="X22" s="27"/>
    </row>
    <row r="23" ht="15.75" customHeight="1"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P23" s="30"/>
      <c r="Q23" s="30"/>
      <c r="R23" s="30"/>
      <c r="U23" s="27"/>
      <c r="V23" s="27"/>
      <c r="W23" s="27"/>
      <c r="X23" s="27"/>
    </row>
    <row r="24" ht="15.75" customHeight="1"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U24" s="27"/>
      <c r="V24" s="27"/>
      <c r="W24" s="27"/>
      <c r="X24" s="27"/>
    </row>
    <row r="25" ht="15.75" customHeight="1"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U25" s="27"/>
      <c r="V25" s="27"/>
      <c r="W25" s="27"/>
      <c r="X25" s="27"/>
    </row>
    <row r="26" ht="15.75" customHeigh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U26" s="27"/>
      <c r="V26" s="27"/>
      <c r="W26" s="27"/>
      <c r="X26" s="27"/>
    </row>
    <row r="27" ht="15.75" customHeight="1"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P27" t="str">
        <f>2.718^2</f>
        <v>7.387524</v>
      </c>
      <c r="S27" t="str">
        <f>S25*0.000072</f>
        <v>0</v>
      </c>
      <c r="U27" s="27"/>
      <c r="V27" s="27"/>
      <c r="W27" s="27"/>
      <c r="X27" s="27"/>
    </row>
    <row r="28" ht="15.75" customHeight="1"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U28" s="27"/>
      <c r="V28" s="27"/>
      <c r="W28" s="27"/>
      <c r="X28" s="27"/>
    </row>
    <row r="29" ht="15.75" customHeight="1"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S29" s="29" t="str">
        <f>S27*G8</f>
        <v>0.00E+00</v>
      </c>
      <c r="T29" s="29"/>
      <c r="U29" s="27"/>
      <c r="V29" s="27"/>
      <c r="W29" s="27"/>
      <c r="X29" s="27"/>
    </row>
    <row r="30" ht="15.75" customHeight="1"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U30" s="27"/>
      <c r="V30" s="27"/>
      <c r="W30" s="27"/>
      <c r="X30" s="27"/>
    </row>
    <row r="31" ht="15.75" customHeight="1"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U31" s="27"/>
      <c r="V31" s="27"/>
      <c r="W31" s="27"/>
      <c r="X31" s="27"/>
    </row>
    <row r="32" ht="15.75" customHeight="1"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U32" s="27"/>
      <c r="V32" s="27"/>
      <c r="W32" s="27"/>
      <c r="X32" s="27"/>
    </row>
    <row r="33" ht="15.75" customHeight="1"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U33" s="27"/>
      <c r="V33" s="27"/>
      <c r="W33" s="27"/>
      <c r="X33" s="27"/>
    </row>
    <row r="34" ht="15.75" customHeight="1"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U34" s="27"/>
      <c r="V34" s="27"/>
      <c r="W34" s="27"/>
      <c r="X34" s="27"/>
    </row>
    <row r="35" ht="15.75" customHeight="1"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U35" s="27"/>
      <c r="V35" s="27"/>
      <c r="W35" s="27"/>
      <c r="X35" s="27"/>
    </row>
    <row r="36" ht="15.75" customHeight="1"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U36" s="27"/>
      <c r="V36" s="27"/>
      <c r="W36" s="27"/>
      <c r="X36" s="27"/>
    </row>
    <row r="37" ht="15.75" customHeight="1"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U37" s="27"/>
      <c r="V37" s="27"/>
      <c r="W37" s="27"/>
      <c r="X37" s="27"/>
    </row>
    <row r="38" ht="15.75" customHeight="1"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U38" s="27"/>
      <c r="V38" s="27"/>
      <c r="W38" s="27"/>
      <c r="X38" s="27"/>
    </row>
    <row r="39" ht="15.75" customHeight="1"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U39" s="27"/>
      <c r="V39" s="27"/>
      <c r="W39" s="27"/>
      <c r="X39" s="27"/>
    </row>
    <row r="40" ht="15.75" customHeight="1"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U40" s="27"/>
      <c r="V40" s="27"/>
      <c r="W40" s="27"/>
      <c r="X40" s="27"/>
    </row>
    <row r="41" ht="15.75" customHeight="1"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U41" s="27"/>
      <c r="V41" s="27"/>
      <c r="W41" s="27"/>
      <c r="X41" s="27"/>
    </row>
    <row r="42" ht="15.75" customHeight="1"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U42" s="27"/>
      <c r="V42" s="27"/>
      <c r="W42" s="27"/>
      <c r="X42" s="27"/>
    </row>
    <row r="43" ht="15.75" customHeight="1"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U43" s="27"/>
      <c r="V43" s="27"/>
      <c r="W43" s="27"/>
      <c r="X43" s="27"/>
    </row>
    <row r="44" ht="15.75" customHeight="1"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U44" s="27"/>
      <c r="V44" s="27"/>
      <c r="W44" s="27"/>
      <c r="X44" s="27"/>
    </row>
    <row r="45" ht="15.75" customHeight="1"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U45" s="27"/>
      <c r="V45" s="27"/>
      <c r="W45" s="27"/>
      <c r="X45" s="27"/>
    </row>
    <row r="46" ht="15.75" customHeight="1"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U46" s="27"/>
      <c r="V46" s="27"/>
      <c r="W46" s="27"/>
      <c r="X46" s="27"/>
    </row>
    <row r="47" ht="15.75" customHeight="1"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U47" s="27"/>
      <c r="V47" s="27"/>
      <c r="W47" s="27"/>
      <c r="X47" s="27"/>
    </row>
    <row r="48" ht="15.75" customHeight="1"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U48" s="27"/>
      <c r="V48" s="27"/>
      <c r="W48" s="27"/>
      <c r="X48" s="27"/>
    </row>
    <row r="49" ht="15.75" customHeight="1"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U49" s="27"/>
      <c r="V49" s="27"/>
      <c r="W49" s="27"/>
      <c r="X49" s="27"/>
    </row>
    <row r="50" ht="15.75" customHeight="1"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U50" s="27"/>
      <c r="V50" s="27"/>
      <c r="W50" s="27"/>
      <c r="X50" s="27"/>
    </row>
    <row r="51" ht="15.75" customHeight="1"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U51" s="27"/>
      <c r="V51" s="27"/>
      <c r="W51" s="27"/>
      <c r="X51" s="27"/>
    </row>
    <row r="52" ht="15.75" customHeight="1"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U52" s="27"/>
      <c r="V52" s="27"/>
      <c r="W52" s="27"/>
      <c r="X52" s="27"/>
    </row>
    <row r="53" ht="15.75" customHeight="1"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U53" s="27"/>
      <c r="V53" s="27"/>
      <c r="W53" s="27"/>
      <c r="X53" s="27"/>
    </row>
    <row r="54" ht="15.75" customHeight="1"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U54" s="27"/>
      <c r="V54" s="27"/>
      <c r="W54" s="27"/>
      <c r="X54" s="27"/>
    </row>
    <row r="55" ht="15.75" customHeight="1"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U55" s="27"/>
      <c r="V55" s="27"/>
      <c r="W55" s="27"/>
      <c r="X55" s="27"/>
    </row>
    <row r="56" ht="15.75" customHeight="1"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U56" s="27"/>
      <c r="V56" s="27"/>
      <c r="W56" s="27"/>
      <c r="X56" s="27"/>
    </row>
    <row r="57" ht="15.75" customHeight="1"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U57" s="27"/>
      <c r="V57" s="27"/>
      <c r="W57" s="27"/>
      <c r="X57" s="27"/>
    </row>
    <row r="58" ht="15.75" customHeight="1"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U58" s="27"/>
      <c r="V58" s="27"/>
      <c r="W58" s="27"/>
      <c r="X58" s="27"/>
    </row>
    <row r="59" ht="15.75" customHeight="1"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U59" s="27"/>
      <c r="V59" s="27"/>
      <c r="W59" s="27"/>
      <c r="X59" s="27"/>
    </row>
    <row r="60" ht="15.75" customHeight="1"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U60" s="27"/>
      <c r="V60" s="27"/>
      <c r="W60" s="27"/>
      <c r="X60" s="27"/>
    </row>
    <row r="61" ht="15.75" customHeight="1"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U61" s="27"/>
      <c r="V61" s="27"/>
      <c r="W61" s="27"/>
      <c r="X61" s="27"/>
    </row>
    <row r="62" ht="15.75" customHeight="1"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U62" s="27"/>
      <c r="V62" s="27"/>
      <c r="W62" s="27"/>
      <c r="X62" s="27"/>
    </row>
    <row r="63" ht="15.75" customHeight="1"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U63" s="27"/>
      <c r="V63" s="27"/>
      <c r="W63" s="27"/>
      <c r="X63" s="27"/>
    </row>
    <row r="64" ht="15.75" customHeight="1"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U64" s="27"/>
      <c r="V64" s="27"/>
      <c r="W64" s="27"/>
      <c r="X64" s="27"/>
    </row>
    <row r="65" ht="15.75" customHeight="1"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U65" s="27"/>
      <c r="V65" s="27"/>
      <c r="W65" s="27"/>
      <c r="X65" s="27"/>
    </row>
    <row r="66" ht="15.75" customHeight="1"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U66" s="27"/>
      <c r="V66" s="27"/>
      <c r="W66" s="27"/>
      <c r="X66" s="27"/>
    </row>
    <row r="67" ht="15.75" customHeight="1"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U67" s="27"/>
      <c r="V67" s="27"/>
      <c r="W67" s="27"/>
      <c r="X67" s="27"/>
    </row>
    <row r="68" ht="15.75" customHeight="1"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U68" s="27"/>
      <c r="V68" s="27"/>
      <c r="W68" s="27"/>
      <c r="X68" s="27"/>
    </row>
    <row r="69" ht="15.75" customHeight="1"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U69" s="27"/>
      <c r="V69" s="27"/>
      <c r="W69" s="27"/>
      <c r="X69" s="27"/>
    </row>
    <row r="70" ht="15.75" customHeight="1"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U70" s="27"/>
      <c r="V70" s="27"/>
      <c r="W70" s="27"/>
      <c r="X70" s="27"/>
    </row>
    <row r="71" ht="15.75" customHeight="1"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U71" s="27"/>
      <c r="V71" s="27"/>
      <c r="W71" s="27"/>
      <c r="X71" s="27"/>
    </row>
    <row r="72" ht="15.75" customHeight="1"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U72" s="27"/>
      <c r="V72" s="27"/>
      <c r="W72" s="27"/>
      <c r="X72" s="27"/>
    </row>
    <row r="73" ht="15.75" customHeight="1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U73" s="27"/>
      <c r="V73" s="27"/>
      <c r="W73" s="27"/>
      <c r="X73" s="27"/>
    </row>
    <row r="74" ht="15.75" customHeight="1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U74" s="27"/>
      <c r="V74" s="27"/>
      <c r="W74" s="27"/>
      <c r="X74" s="27"/>
    </row>
    <row r="75" ht="15.75" customHeight="1"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U75" s="27"/>
      <c r="V75" s="27"/>
      <c r="W75" s="27"/>
      <c r="X75" s="27"/>
    </row>
    <row r="76" ht="15.75" customHeight="1"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U76" s="27"/>
      <c r="V76" s="27"/>
      <c r="W76" s="27"/>
      <c r="X76" s="27"/>
    </row>
    <row r="77" ht="15.75" customHeight="1"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U77" s="27"/>
      <c r="V77" s="27"/>
      <c r="W77" s="27"/>
      <c r="X77" s="27"/>
    </row>
    <row r="78" ht="15.75" customHeight="1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U78" s="27"/>
      <c r="V78" s="27"/>
      <c r="W78" s="27"/>
      <c r="X78" s="27"/>
    </row>
    <row r="79" ht="15.75" customHeight="1"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U79" s="27"/>
      <c r="V79" s="27"/>
      <c r="W79" s="27"/>
      <c r="X79" s="27"/>
    </row>
    <row r="80" ht="15.75" customHeight="1"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U80" s="27"/>
      <c r="V80" s="27"/>
      <c r="W80" s="27"/>
      <c r="X80" s="27"/>
    </row>
    <row r="81" ht="15.75" customHeight="1"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U81" s="27"/>
      <c r="V81" s="27"/>
      <c r="W81" s="27"/>
      <c r="X81" s="27"/>
    </row>
    <row r="82" ht="15.75" customHeight="1"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U82" s="27"/>
      <c r="V82" s="27"/>
      <c r="W82" s="27"/>
      <c r="X82" s="27"/>
    </row>
    <row r="83" ht="15.75" customHeight="1"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U83" s="27"/>
      <c r="V83" s="27"/>
      <c r="W83" s="27"/>
      <c r="X83" s="27"/>
    </row>
    <row r="84" ht="15.75" customHeight="1"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U84" s="27"/>
      <c r="V84" s="27"/>
      <c r="W84" s="27"/>
      <c r="X84" s="27"/>
    </row>
    <row r="85" ht="15.75" customHeight="1"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U85" s="27"/>
      <c r="V85" s="27"/>
      <c r="W85" s="27"/>
      <c r="X85" s="27"/>
    </row>
    <row r="86" ht="15.75" customHeight="1"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U86" s="27"/>
      <c r="V86" s="27"/>
      <c r="W86" s="27"/>
      <c r="X86" s="27"/>
    </row>
    <row r="87" ht="15.75" customHeight="1"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U87" s="27"/>
      <c r="V87" s="27"/>
      <c r="W87" s="27"/>
      <c r="X87" s="27"/>
    </row>
    <row r="88" ht="15.75" customHeight="1"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U88" s="27"/>
      <c r="V88" s="27"/>
      <c r="W88" s="27"/>
      <c r="X88" s="27"/>
    </row>
    <row r="89" ht="15.75" customHeight="1"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U89" s="27"/>
      <c r="V89" s="27"/>
      <c r="W89" s="27"/>
      <c r="X89" s="27"/>
    </row>
    <row r="90" ht="15.75" customHeight="1"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U90" s="27"/>
      <c r="V90" s="27"/>
      <c r="W90" s="27"/>
      <c r="X90" s="27"/>
    </row>
    <row r="91" ht="15.75" customHeight="1"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U91" s="27"/>
      <c r="V91" s="27"/>
      <c r="W91" s="27"/>
      <c r="X91" s="27"/>
    </row>
    <row r="92" ht="15.75" customHeight="1"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U92" s="27"/>
      <c r="V92" s="27"/>
      <c r="W92" s="27"/>
      <c r="X92" s="27"/>
    </row>
    <row r="93" ht="15.75" customHeight="1"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U93" s="27"/>
      <c r="V93" s="27"/>
      <c r="W93" s="27"/>
      <c r="X93" s="27"/>
    </row>
    <row r="94" ht="15.75" customHeight="1"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U94" s="27"/>
      <c r="V94" s="27"/>
      <c r="W94" s="27"/>
      <c r="X94" s="27"/>
    </row>
    <row r="95" ht="15.75" customHeight="1"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U95" s="27"/>
      <c r="V95" s="27"/>
      <c r="W95" s="27"/>
      <c r="X95" s="27"/>
    </row>
    <row r="96" ht="15.75" customHeight="1"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U96" s="27"/>
      <c r="V96" s="27"/>
      <c r="W96" s="27"/>
      <c r="X96" s="27"/>
    </row>
    <row r="97" ht="15.75" customHeight="1"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U97" s="27"/>
      <c r="V97" s="27"/>
      <c r="W97" s="27"/>
      <c r="X97" s="27"/>
    </row>
    <row r="98" ht="15.75" customHeight="1"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U98" s="27"/>
      <c r="V98" s="27"/>
      <c r="W98" s="27"/>
      <c r="X98" s="27"/>
    </row>
    <row r="99" ht="15.75" customHeight="1"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U99" s="27"/>
      <c r="V99" s="27"/>
      <c r="W99" s="27"/>
      <c r="X99" s="27"/>
    </row>
    <row r="100" ht="15.75" customHeight="1"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U100" s="27"/>
      <c r="V100" s="27"/>
      <c r="W100" s="27"/>
      <c r="X100" s="27"/>
    </row>
  </sheetData>
  <mergeCells count="20">
    <mergeCell ref="H3:H4"/>
    <mergeCell ref="I3:J3"/>
    <mergeCell ref="L3:P3"/>
    <mergeCell ref="Q3:Y3"/>
    <mergeCell ref="R4:S4"/>
    <mergeCell ref="T4:U4"/>
    <mergeCell ref="V4:W4"/>
    <mergeCell ref="X4:Y4"/>
    <mergeCell ref="B16:C16"/>
    <mergeCell ref="D16:E16"/>
    <mergeCell ref="D17:D18"/>
    <mergeCell ref="J18:P18"/>
    <mergeCell ref="B14:L14"/>
    <mergeCell ref="B1:L1"/>
    <mergeCell ref="B3:B4"/>
    <mergeCell ref="C3:C4"/>
    <mergeCell ref="D3:D4"/>
    <mergeCell ref="E3:E4"/>
    <mergeCell ref="F3:F4"/>
    <mergeCell ref="G3:G4"/>
  </mergeCells>
  <printOptions/>
  <pageMargins bottom="0.787401575" footer="0.0" header="0.0" left="0.511811024" right="0.511811024" top="0.787401575"/>
  <pageSetup orientation="portrait"/>
  <headerFooter>
    <oddFooter>&amp;C_x000D_#000000 (  X  ) Público    (   ) Interno  (   ) Setorial  (  ) Confidencial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71"/>
    <col customWidth="1" min="3" max="3" width="14.43"/>
    <col customWidth="1" min="4" max="4" width="13.14"/>
    <col customWidth="1" min="5" max="5" width="9.29"/>
    <col customWidth="1" min="6" max="6" width="9.57"/>
    <col customWidth="1" min="7" max="7" width="10.71"/>
    <col customWidth="1" min="8" max="8" width="9.29"/>
    <col customWidth="1" min="9" max="9" width="7.43"/>
    <col customWidth="1" min="10" max="10" width="10.14"/>
    <col customWidth="1" min="11" max="11" width="8.71"/>
    <col customWidth="1" min="12" max="12" width="9.43"/>
    <col customWidth="1" min="13" max="13" width="8.71"/>
    <col customWidth="1" hidden="1" min="14" max="15" width="10.14"/>
    <col customWidth="1" min="16" max="16" width="8.86"/>
    <col customWidth="1" min="17" max="17" width="8.43"/>
    <col customWidth="1" min="18" max="18" width="9.14"/>
    <col customWidth="1" min="19" max="19" width="9.43"/>
    <col customWidth="1" min="20" max="20" width="9.57"/>
    <col customWidth="1" min="21" max="21" width="9.0"/>
    <col customWidth="1" min="22" max="22" width="8.29"/>
    <col customWidth="1" min="23" max="23" width="8.57"/>
    <col customWidth="1" min="24" max="24" width="8.43"/>
    <col customWidth="1" min="25" max="25" width="9.14"/>
  </cols>
  <sheetData>
    <row r="1" ht="30.0" customHeight="1">
      <c r="B1" s="1" t="s">
        <v>0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/>
      <c r="N2" s="2"/>
      <c r="O2" s="2"/>
      <c r="P2" s="2"/>
      <c r="Q2" s="2"/>
      <c r="R2" s="2"/>
      <c r="S2" s="2"/>
      <c r="T2" s="2"/>
      <c r="U2" s="1"/>
      <c r="V2" s="1"/>
      <c r="W2" s="1"/>
      <c r="X2" s="1"/>
      <c r="Y2" s="2"/>
    </row>
    <row r="3" ht="41.25" customHeight="1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36</v>
      </c>
      <c r="I3" s="4" t="s">
        <v>8</v>
      </c>
      <c r="J3" s="5"/>
      <c r="K3" s="4" t="s">
        <v>37</v>
      </c>
      <c r="L3" s="4" t="s">
        <v>10</v>
      </c>
      <c r="M3" s="5"/>
      <c r="N3" s="5"/>
      <c r="O3" s="5"/>
      <c r="P3" s="5"/>
      <c r="Q3" s="4" t="s">
        <v>38</v>
      </c>
      <c r="R3" s="5"/>
      <c r="S3" s="5"/>
      <c r="T3" s="5"/>
      <c r="U3" s="5"/>
      <c r="V3" s="5"/>
      <c r="W3" s="5"/>
      <c r="X3" s="5"/>
      <c r="Y3" s="5"/>
    </row>
    <row r="4" ht="25.5" customHeight="1">
      <c r="B4" s="5"/>
      <c r="C4" s="5"/>
      <c r="D4" s="5"/>
      <c r="E4" s="5"/>
      <c r="F4" s="5"/>
      <c r="G4" s="5"/>
      <c r="H4" s="5"/>
      <c r="I4" s="4" t="s">
        <v>12</v>
      </c>
      <c r="J4" s="4" t="s">
        <v>13</v>
      </c>
      <c r="K4" s="4" t="s">
        <v>14</v>
      </c>
      <c r="L4" s="4" t="s">
        <v>12</v>
      </c>
      <c r="M4" s="4" t="s">
        <v>13</v>
      </c>
      <c r="N4" s="4"/>
      <c r="O4" s="4"/>
      <c r="P4" s="4" t="s">
        <v>15</v>
      </c>
      <c r="Q4" s="4"/>
      <c r="R4" s="6" t="s">
        <v>16</v>
      </c>
      <c r="S4" s="7"/>
      <c r="T4" s="6" t="s">
        <v>17</v>
      </c>
      <c r="U4" s="7"/>
      <c r="V4" s="6" t="s">
        <v>18</v>
      </c>
      <c r="W4" s="7"/>
      <c r="X4" s="6" t="s">
        <v>19</v>
      </c>
      <c r="Y4" s="7"/>
    </row>
    <row r="5">
      <c r="B5" s="8" t="s">
        <v>20</v>
      </c>
      <c r="C5" s="9" t="str">
        <f>1.52*10^8</f>
        <v>1.52E+08</v>
      </c>
      <c r="D5" s="9" t="str">
        <f>7.59*10^-1</f>
        <v>7.59E-01</v>
      </c>
      <c r="E5" s="9">
        <v>2.04E11</v>
      </c>
      <c r="F5" s="8" t="s">
        <v>20</v>
      </c>
      <c r="G5" s="9" t="str">
        <f t="shared" ref="G5:G13" si="1">E5/$E$17</f>
        <v>2.27E+02</v>
      </c>
      <c r="H5" s="9" t="str">
        <f>0.693/(70.86*24)</f>
        <v>4.07E-04</v>
      </c>
      <c r="I5" s="9">
        <v>1.0</v>
      </c>
      <c r="J5" s="9">
        <v>5.0</v>
      </c>
      <c r="K5" s="9">
        <v>200000.0</v>
      </c>
      <c r="L5" s="9" t="str">
        <f t="shared" ref="L5:L12" si="2">G5*I5</f>
        <v>2.27E+02</v>
      </c>
      <c r="M5" s="9" t="str">
        <f t="shared" ref="M5:M12" si="3">G5*J5</f>
        <v>1.14E+03</v>
      </c>
      <c r="N5" s="9" t="str">
        <f t="shared" ref="N5:N12" si="4">EXP(-H5*262980)</f>
        <v>2.88E-47</v>
      </c>
      <c r="O5" s="9" t="str">
        <f t="shared" ref="O5:O12" si="5">1-N5</f>
        <v>1.00E+00</v>
      </c>
      <c r="P5" s="9" t="str">
        <f t="shared" ref="P5:P12" si="6">G5*0.000072*(O5/H5)</f>
        <v>4.02E+01</v>
      </c>
      <c r="Q5" s="8" t="s">
        <v>20</v>
      </c>
      <c r="R5" s="9">
        <v>560.0</v>
      </c>
      <c r="S5" s="9">
        <v>37000.0</v>
      </c>
      <c r="T5" s="9">
        <v>9.62</v>
      </c>
      <c r="U5" s="9">
        <v>370.0</v>
      </c>
      <c r="V5" s="9" t="s">
        <v>21</v>
      </c>
      <c r="W5" s="9" t="s">
        <v>21</v>
      </c>
      <c r="X5" s="9" t="s">
        <v>21</v>
      </c>
      <c r="Y5" s="9" t="s">
        <v>21</v>
      </c>
    </row>
    <row r="6">
      <c r="B6" s="8" t="s">
        <v>22</v>
      </c>
      <c r="C6" s="9">
        <v>6820000.0</v>
      </c>
      <c r="D6" s="9">
        <v>0.034</v>
      </c>
      <c r="E6" s="9">
        <v>9.16E9</v>
      </c>
      <c r="F6" s="8" t="s">
        <v>22</v>
      </c>
      <c r="G6" s="9" t="str">
        <f t="shared" si="1"/>
        <v>1.02E+01</v>
      </c>
      <c r="H6" s="9" t="str">
        <f>0.693/(1925.28*24)</f>
        <v>1.50E-05</v>
      </c>
      <c r="I6" s="9">
        <v>1.0</v>
      </c>
      <c r="J6" s="9">
        <v>5.0</v>
      </c>
      <c r="K6" s="9">
        <v>2.0E8</v>
      </c>
      <c r="L6" s="9" t="str">
        <f t="shared" si="2"/>
        <v>1.02E+01</v>
      </c>
      <c r="M6" s="9" t="str">
        <f t="shared" si="3"/>
        <v>5.11E+01</v>
      </c>
      <c r="N6" s="9" t="str">
        <f t="shared" si="4"/>
        <v>1.94E-02</v>
      </c>
      <c r="O6" s="9" t="str">
        <f t="shared" si="5"/>
        <v>9.81E-01</v>
      </c>
      <c r="P6" s="9" t="str">
        <f t="shared" si="6"/>
        <v>4.81E+01</v>
      </c>
      <c r="Q6" s="8" t="s">
        <v>22</v>
      </c>
      <c r="R6" s="9">
        <v>560.0</v>
      </c>
      <c r="S6" s="9">
        <v>11100.0</v>
      </c>
      <c r="T6" s="9">
        <v>4.81</v>
      </c>
      <c r="U6" s="9">
        <v>370.0</v>
      </c>
      <c r="V6" s="9" t="s">
        <v>21</v>
      </c>
      <c r="W6" s="9" t="s">
        <v>21</v>
      </c>
      <c r="X6" s="9" t="s">
        <v>21</v>
      </c>
      <c r="Y6" s="9" t="s">
        <v>21</v>
      </c>
    </row>
    <row r="7">
      <c r="B7" s="8" t="s">
        <v>23</v>
      </c>
      <c r="C7" s="9">
        <v>3.35E7</v>
      </c>
      <c r="D7" s="9">
        <v>0.167</v>
      </c>
      <c r="E7" s="9">
        <v>4.5E10</v>
      </c>
      <c r="F7" s="8" t="s">
        <v>23</v>
      </c>
      <c r="G7" s="9" t="str">
        <f t="shared" si="1"/>
        <v>5.02E+01</v>
      </c>
      <c r="H7" s="9" t="str">
        <f>0.693/(27.704*24)</f>
        <v>1.04E-03</v>
      </c>
      <c r="I7" s="9">
        <v>0.2</v>
      </c>
      <c r="J7" s="9">
        <v>0.8</v>
      </c>
      <c r="K7" s="9">
        <v>50000.0</v>
      </c>
      <c r="L7" s="9" t="str">
        <f t="shared" si="2"/>
        <v>1.00E+01</v>
      </c>
      <c r="M7" s="9" t="str">
        <f t="shared" si="3"/>
        <v>4.01E+01</v>
      </c>
      <c r="N7" s="9" t="str">
        <f t="shared" si="4"/>
        <v>9.16E-120</v>
      </c>
      <c r="O7" s="9" t="str">
        <f t="shared" si="5"/>
        <v>1.00E+00</v>
      </c>
      <c r="P7" s="9" t="str">
        <f t="shared" si="6"/>
        <v>3.47E+00</v>
      </c>
      <c r="Q7" s="8" t="s">
        <v>23</v>
      </c>
      <c r="R7" s="9" t="s">
        <v>21</v>
      </c>
      <c r="S7" s="9" t="s">
        <v>21</v>
      </c>
      <c r="T7" s="9" t="s">
        <v>21</v>
      </c>
      <c r="U7" s="9" t="s">
        <v>21</v>
      </c>
      <c r="V7" s="9" t="s">
        <v>21</v>
      </c>
      <c r="W7" s="9" t="s">
        <v>21</v>
      </c>
      <c r="X7" s="9" t="s">
        <v>21</v>
      </c>
      <c r="Y7" s="9" t="s">
        <v>21</v>
      </c>
    </row>
    <row r="8">
      <c r="B8" s="8" t="s">
        <v>24</v>
      </c>
      <c r="C8" s="9" t="str">
        <f>7.14*10^5</f>
        <v>7.14E+05</v>
      </c>
      <c r="D8" s="9" t="str">
        <f>3.56*10^-3</f>
        <v>3.56E-03</v>
      </c>
      <c r="E8" s="9">
        <v>9.59E8</v>
      </c>
      <c r="F8" s="8" t="s">
        <v>24</v>
      </c>
      <c r="G8" s="9" t="str">
        <f t="shared" si="1"/>
        <v>1.07E+00</v>
      </c>
      <c r="H8" s="9" t="str">
        <f>0.693/(30*365*24)</f>
        <v>2.64E-06</v>
      </c>
      <c r="I8" s="8">
        <v>0.1</v>
      </c>
      <c r="J8" s="8">
        <v>0.03</v>
      </c>
      <c r="K8" s="9">
        <v>3000.0</v>
      </c>
      <c r="L8" s="9" t="str">
        <f t="shared" si="2"/>
        <v>1.07E-01</v>
      </c>
      <c r="M8" s="9" t="str">
        <f t="shared" si="3"/>
        <v>3.21E-02</v>
      </c>
      <c r="N8" s="9" t="str">
        <f t="shared" si="4"/>
        <v>5.00E-01</v>
      </c>
      <c r="O8" s="9" t="str">
        <f t="shared" si="5"/>
        <v>5.00E-01</v>
      </c>
      <c r="P8" s="9" t="str">
        <f t="shared" si="6"/>
        <v>1.46E+01</v>
      </c>
      <c r="Q8" s="8" t="s">
        <v>24</v>
      </c>
      <c r="R8" s="9">
        <v>560.0</v>
      </c>
      <c r="S8" s="9">
        <v>1850.0</v>
      </c>
      <c r="T8" s="9">
        <v>4.81</v>
      </c>
      <c r="U8" s="9">
        <v>74.0</v>
      </c>
      <c r="V8" s="9" t="s">
        <v>21</v>
      </c>
      <c r="W8" s="9" t="s">
        <v>21</v>
      </c>
      <c r="X8" s="9">
        <v>6.67</v>
      </c>
      <c r="Y8" s="9">
        <v>5.45</v>
      </c>
    </row>
    <row r="9">
      <c r="B9" s="8" t="s">
        <v>25</v>
      </c>
      <c r="C9" s="9">
        <v>1600000.0</v>
      </c>
      <c r="D9" s="9">
        <v>0.00799</v>
      </c>
      <c r="E9" s="9">
        <v>2.15E9</v>
      </c>
      <c r="F9" s="8" t="s">
        <v>25</v>
      </c>
      <c r="G9" s="9" t="str">
        <f t="shared" si="1"/>
        <v>2.40E+00</v>
      </c>
      <c r="H9" s="9" t="str">
        <f>0.693/(312.2*24)</f>
        <v>9.25E-05</v>
      </c>
      <c r="I9" s="8">
        <v>0.4</v>
      </c>
      <c r="J9" s="8">
        <v>5.0</v>
      </c>
      <c r="K9" s="9">
        <v>200000.0</v>
      </c>
      <c r="L9" s="9" t="str">
        <f t="shared" si="2"/>
        <v>9.59E-01</v>
      </c>
      <c r="M9" s="9" t="str">
        <f t="shared" si="3"/>
        <v>1.20E+01</v>
      </c>
      <c r="N9" s="9" t="str">
        <f t="shared" si="4"/>
        <v>2.73E-11</v>
      </c>
      <c r="O9" s="9" t="str">
        <f t="shared" si="5"/>
        <v>1.00E+00</v>
      </c>
      <c r="P9" s="9" t="str">
        <f t="shared" si="6"/>
        <v>1.87E+00</v>
      </c>
      <c r="Q9" s="8" t="s">
        <v>25</v>
      </c>
      <c r="R9" s="9">
        <v>560.0</v>
      </c>
      <c r="S9" s="9">
        <v>37000.0</v>
      </c>
      <c r="T9" s="9">
        <v>4.81</v>
      </c>
      <c r="U9" s="9">
        <v>1110.0</v>
      </c>
      <c r="V9" s="9" t="s">
        <v>21</v>
      </c>
      <c r="W9" s="9" t="s">
        <v>21</v>
      </c>
      <c r="X9" s="9" t="s">
        <v>21</v>
      </c>
      <c r="Y9" s="9" t="s">
        <v>21</v>
      </c>
    </row>
    <row r="10">
      <c r="B10" s="8" t="s">
        <v>26</v>
      </c>
      <c r="C10" s="9">
        <v>4260000.0</v>
      </c>
      <c r="D10" s="9">
        <v>0.0213</v>
      </c>
      <c r="E10" s="9">
        <v>5.72E9</v>
      </c>
      <c r="F10" s="8" t="s">
        <v>26</v>
      </c>
      <c r="G10" s="9" t="str">
        <f t="shared" si="1"/>
        <v>6.38E+00</v>
      </c>
      <c r="H10" s="9" t="str">
        <f>0.693/(60.2*24)</f>
        <v>4.80E-04</v>
      </c>
      <c r="I10" s="8">
        <v>0.4</v>
      </c>
      <c r="J10" s="8">
        <v>0.4</v>
      </c>
      <c r="K10" s="9">
        <v>1000.0</v>
      </c>
      <c r="L10" s="9" t="str">
        <f t="shared" si="2"/>
        <v>2.55E+00</v>
      </c>
      <c r="M10" s="9" t="str">
        <f t="shared" si="3"/>
        <v>2.55E+00</v>
      </c>
      <c r="N10" s="9" t="str">
        <f t="shared" si="4"/>
        <v>1.65E-55</v>
      </c>
      <c r="O10" s="9" t="str">
        <f t="shared" si="5"/>
        <v>1.00E+00</v>
      </c>
      <c r="P10" s="9" t="str">
        <f t="shared" si="6"/>
        <v>9.57E-01</v>
      </c>
      <c r="Q10" s="8" t="s">
        <v>26</v>
      </c>
      <c r="R10" s="9" t="s">
        <v>21</v>
      </c>
      <c r="S10" s="9" t="s">
        <v>21</v>
      </c>
      <c r="T10" s="9" t="s">
        <v>21</v>
      </c>
      <c r="U10" s="9" t="s">
        <v>21</v>
      </c>
      <c r="V10" s="9" t="s">
        <v>21</v>
      </c>
      <c r="W10" s="9" t="s">
        <v>21</v>
      </c>
      <c r="X10" s="9" t="s">
        <v>21</v>
      </c>
      <c r="Y10" s="9" t="s">
        <v>21</v>
      </c>
    </row>
    <row r="11">
      <c r="B11" s="8" t="s">
        <v>27</v>
      </c>
      <c r="C11" s="9">
        <v>1160000.0</v>
      </c>
      <c r="D11" s="9">
        <v>0.00579</v>
      </c>
      <c r="E11" s="9">
        <v>1.56E9</v>
      </c>
      <c r="F11" s="8" t="s">
        <v>27</v>
      </c>
      <c r="G11" s="9" t="str">
        <f t="shared" si="1"/>
        <v>1.74E+00</v>
      </c>
      <c r="H11" s="9" t="str">
        <f>0.693/(2.76*365*24)</f>
        <v>2.87E-05</v>
      </c>
      <c r="I11" s="8">
        <v>0.4</v>
      </c>
      <c r="J11" s="8">
        <v>0.4</v>
      </c>
      <c r="K11" s="9">
        <v>1000.0</v>
      </c>
      <c r="L11" s="9" t="str">
        <f t="shared" si="2"/>
        <v>6.96E-01</v>
      </c>
      <c r="M11" s="9" t="str">
        <f t="shared" si="3"/>
        <v>6.96E-01</v>
      </c>
      <c r="N11" s="9" t="str">
        <f t="shared" si="4"/>
        <v>5.33E-04</v>
      </c>
      <c r="O11" s="9" t="str">
        <f t="shared" si="5"/>
        <v>9.99E-01</v>
      </c>
      <c r="P11" s="9" t="str">
        <f t="shared" si="6"/>
        <v>4.37E+00</v>
      </c>
      <c r="Q11" s="8" t="s">
        <v>27</v>
      </c>
      <c r="R11" s="9" t="s">
        <v>21</v>
      </c>
      <c r="S11" s="9" t="s">
        <v>21</v>
      </c>
      <c r="T11" s="9" t="s">
        <v>21</v>
      </c>
      <c r="U11" s="9" t="s">
        <v>21</v>
      </c>
      <c r="V11" s="9" t="s">
        <v>21</v>
      </c>
      <c r="W11" s="9" t="s">
        <v>21</v>
      </c>
      <c r="X11" s="9" t="s">
        <v>21</v>
      </c>
      <c r="Y11" s="9" t="s">
        <v>21</v>
      </c>
    </row>
    <row r="12">
      <c r="B12" s="8" t="s">
        <v>28</v>
      </c>
      <c r="C12" s="9">
        <v>273000.0</v>
      </c>
      <c r="D12" s="9">
        <v>0.00136</v>
      </c>
      <c r="E12" s="9">
        <v>3.67E8</v>
      </c>
      <c r="F12" s="8" t="s">
        <v>28</v>
      </c>
      <c r="G12" s="9" t="str">
        <f t="shared" si="1"/>
        <v>4.09E-01</v>
      </c>
      <c r="H12" s="9" t="str">
        <f>0.693/(64.032*24)</f>
        <v>4.51E-04</v>
      </c>
      <c r="I12" s="8">
        <v>0.02</v>
      </c>
      <c r="J12" s="8">
        <v>5.0</v>
      </c>
      <c r="K12" s="9">
        <v>1000000.0</v>
      </c>
      <c r="L12" s="9" t="str">
        <f t="shared" si="2"/>
        <v>8.18E-03</v>
      </c>
      <c r="M12" s="9" t="str">
        <f t="shared" si="3"/>
        <v>2.05E+00</v>
      </c>
      <c r="N12" s="9" t="str">
        <f t="shared" si="4"/>
        <v>3.14E-52</v>
      </c>
      <c r="O12" s="9" t="str">
        <f t="shared" si="5"/>
        <v>1.00E+00</v>
      </c>
      <c r="P12" s="9" t="str">
        <f t="shared" si="6"/>
        <v>6.53E-02</v>
      </c>
      <c r="Q12" s="8" t="s">
        <v>28</v>
      </c>
      <c r="R12" s="9" t="s">
        <v>21</v>
      </c>
      <c r="S12" s="9" t="s">
        <v>21</v>
      </c>
      <c r="T12" s="9" t="s">
        <v>21</v>
      </c>
      <c r="U12" s="9" t="s">
        <v>21</v>
      </c>
      <c r="V12" s="9" t="s">
        <v>21</v>
      </c>
      <c r="W12" s="9" t="s">
        <v>21</v>
      </c>
      <c r="X12" s="9" t="s">
        <v>21</v>
      </c>
      <c r="Y12" s="9" t="s">
        <v>21</v>
      </c>
    </row>
    <row r="13">
      <c r="B13" s="8" t="s">
        <v>29</v>
      </c>
      <c r="C13" s="9">
        <v>2.0E8</v>
      </c>
      <c r="D13" s="9">
        <v>1.0</v>
      </c>
      <c r="E13" s="9">
        <v>2.69E11</v>
      </c>
      <c r="F13" s="8" t="s">
        <v>29</v>
      </c>
      <c r="G13" s="9" t="str">
        <f t="shared" si="1"/>
        <v>3.00E+02</v>
      </c>
      <c r="H13" s="9"/>
      <c r="I13" s="8"/>
      <c r="J13" s="8"/>
      <c r="K13" s="8"/>
      <c r="L13" s="9"/>
      <c r="M13" s="11"/>
      <c r="N13" s="11"/>
      <c r="O13" s="11"/>
      <c r="P13" s="11"/>
      <c r="Q13" s="11"/>
      <c r="R13" s="11"/>
      <c r="S13" s="9"/>
      <c r="T13" s="9"/>
      <c r="U13" s="9"/>
      <c r="V13" s="9"/>
      <c r="W13" s="11"/>
      <c r="X13" s="11"/>
      <c r="Y13" s="11"/>
    </row>
    <row r="14">
      <c r="B14" s="12" t="s">
        <v>30</v>
      </c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>
      <c r="B15" s="14"/>
      <c r="C15" s="15"/>
      <c r="D15" s="15"/>
      <c r="E15" s="15"/>
      <c r="F15" s="15"/>
      <c r="G15" s="14"/>
      <c r="H15" s="14"/>
      <c r="I15" s="14"/>
      <c r="J15" s="14"/>
      <c r="K15" s="14"/>
      <c r="L15" s="14"/>
      <c r="M15" s="13"/>
      <c r="N15" s="13"/>
      <c r="O15" s="13"/>
      <c r="P15" s="13"/>
      <c r="Q15" s="13"/>
      <c r="R15" s="13"/>
      <c r="S15" s="13"/>
      <c r="T15" s="13"/>
      <c r="U15" s="14"/>
      <c r="V15" s="14"/>
      <c r="W15" s="14"/>
      <c r="X15" s="14"/>
      <c r="Y15" s="13"/>
    </row>
    <row r="16">
      <c r="B16" s="16" t="s">
        <v>31</v>
      </c>
      <c r="C16" s="17"/>
      <c r="D16" s="16" t="s">
        <v>39</v>
      </c>
      <c r="E16" s="17"/>
      <c r="F16" s="13"/>
      <c r="G16" s="1"/>
      <c r="H16" s="1"/>
      <c r="I16" s="1"/>
      <c r="J16" s="1"/>
      <c r="K16" s="1"/>
      <c r="L16" s="1"/>
      <c r="M16" s="18"/>
      <c r="N16" s="2"/>
      <c r="O16" s="2"/>
      <c r="P16" s="18"/>
      <c r="Q16" s="18"/>
      <c r="R16" s="18"/>
      <c r="S16" s="2"/>
      <c r="T16" s="2"/>
      <c r="U16" s="1"/>
      <c r="V16" s="1"/>
      <c r="W16" s="1"/>
      <c r="X16" s="1"/>
      <c r="Y16" s="2"/>
    </row>
    <row r="17">
      <c r="B17" s="19" t="s">
        <v>33</v>
      </c>
      <c r="C17" s="20">
        <v>1342.0</v>
      </c>
      <c r="D17" s="21" t="s">
        <v>34</v>
      </c>
      <c r="E17" s="20" t="str">
        <f>8.97*10^8</f>
        <v>8.97E+08</v>
      </c>
      <c r="F17" s="23"/>
      <c r="G17" s="1"/>
      <c r="H17" s="1"/>
      <c r="I17" s="1"/>
      <c r="J17" s="1"/>
      <c r="K17" s="1"/>
      <c r="L17" s="1"/>
      <c r="M17" s="2"/>
      <c r="N17" s="2"/>
      <c r="O17" s="2"/>
      <c r="P17" s="2" t="str">
        <f>269000000000/(897000000)</f>
        <v>299.8885173</v>
      </c>
      <c r="Q17" s="2"/>
      <c r="R17" s="2"/>
      <c r="S17" s="2"/>
      <c r="T17" s="2"/>
      <c r="U17" s="1"/>
      <c r="V17" s="1"/>
      <c r="W17" s="1"/>
      <c r="X17" s="1"/>
      <c r="Y17" s="2"/>
    </row>
    <row r="18">
      <c r="B18" s="24" t="s">
        <v>35</v>
      </c>
      <c r="C18" s="25" t="str">
        <f>2.69*10^11</f>
        <v>2.69E+11</v>
      </c>
      <c r="D18" s="26"/>
      <c r="E18" s="25"/>
      <c r="F18" s="23"/>
      <c r="G18" s="27"/>
      <c r="H18" s="27"/>
      <c r="I18" s="27"/>
      <c r="J18" s="28"/>
      <c r="Q18" s="28"/>
      <c r="R18" s="28"/>
      <c r="U18" s="27"/>
      <c r="V18" s="27"/>
      <c r="W18" s="27"/>
      <c r="X18" s="27"/>
    </row>
    <row r="19">
      <c r="B19" s="13"/>
      <c r="C19" s="23"/>
      <c r="D19" s="27"/>
      <c r="E19" s="27"/>
      <c r="F19" s="27"/>
      <c r="G19" s="27"/>
      <c r="H19" s="27"/>
      <c r="I19" s="27"/>
      <c r="J19" s="27"/>
      <c r="K19" s="27"/>
      <c r="L19" s="27"/>
      <c r="U19" s="27"/>
      <c r="V19" s="27"/>
      <c r="W19" s="27"/>
      <c r="X19" s="27"/>
    </row>
    <row r="20"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U20" s="27"/>
      <c r="V20" s="27"/>
      <c r="W20" s="27"/>
      <c r="X20" s="27"/>
    </row>
    <row r="21" ht="15.75" customHeight="1"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P21" s="29"/>
      <c r="Q21" s="29"/>
      <c r="R21" s="29"/>
      <c r="U21" s="27"/>
      <c r="V21" s="27"/>
      <c r="W21" s="27"/>
      <c r="X21" s="27"/>
    </row>
    <row r="22" ht="15.75" customHeight="1"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U22" s="27"/>
      <c r="V22" s="27"/>
      <c r="W22" s="27"/>
      <c r="X22" s="27"/>
    </row>
    <row r="23" ht="15.75" customHeight="1"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P23" s="30"/>
      <c r="Q23" s="30"/>
      <c r="R23" s="30"/>
      <c r="U23" s="27"/>
      <c r="V23" s="27"/>
      <c r="W23" s="27"/>
      <c r="X23" s="27"/>
    </row>
    <row r="24" ht="15.75" customHeight="1"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U24" s="27"/>
      <c r="V24" s="27"/>
      <c r="W24" s="27"/>
      <c r="X24" s="27"/>
    </row>
    <row r="25" ht="15.75" customHeight="1"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U25" s="27"/>
      <c r="V25" s="27"/>
      <c r="W25" s="27"/>
      <c r="X25" s="27"/>
    </row>
    <row r="26" ht="15.75" customHeigh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U26" s="27"/>
      <c r="V26" s="27"/>
      <c r="W26" s="27"/>
      <c r="X26" s="27"/>
    </row>
    <row r="27" ht="15.75" customHeight="1"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P27" t="str">
        <f>2.718^2</f>
        <v>7.387524</v>
      </c>
      <c r="S27" t="str">
        <f>S25*0.000072</f>
        <v>0</v>
      </c>
      <c r="U27" s="27"/>
      <c r="V27" s="27"/>
      <c r="W27" s="27"/>
      <c r="X27" s="27"/>
    </row>
    <row r="28" ht="15.75" customHeight="1"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U28" s="27"/>
      <c r="V28" s="27"/>
      <c r="W28" s="27"/>
      <c r="X28" s="27"/>
    </row>
    <row r="29" ht="15.75" customHeight="1"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S29" s="29" t="str">
        <f>S27*G8</f>
        <v>0.00E+00</v>
      </c>
      <c r="T29" s="29"/>
      <c r="U29" s="27"/>
      <c r="V29" s="27"/>
      <c r="W29" s="27"/>
      <c r="X29" s="27"/>
    </row>
    <row r="30" ht="15.75" customHeight="1"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U30" s="27"/>
      <c r="V30" s="27"/>
      <c r="W30" s="27"/>
      <c r="X30" s="27"/>
    </row>
    <row r="31" ht="15.75" customHeight="1"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U31" s="27"/>
      <c r="V31" s="27"/>
      <c r="W31" s="27"/>
      <c r="X31" s="27"/>
    </row>
    <row r="32" ht="15.75" customHeight="1"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U32" s="27"/>
      <c r="V32" s="27"/>
      <c r="W32" s="27"/>
      <c r="X32" s="27"/>
    </row>
    <row r="33" ht="15.75" customHeight="1"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U33" s="27"/>
      <c r="V33" s="27"/>
      <c r="W33" s="27"/>
      <c r="X33" s="27"/>
    </row>
    <row r="34" ht="15.75" customHeight="1"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U34" s="27"/>
      <c r="V34" s="27"/>
      <c r="W34" s="27"/>
      <c r="X34" s="27"/>
    </row>
    <row r="35" ht="15.75" customHeight="1"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U35" s="27"/>
      <c r="V35" s="27"/>
      <c r="W35" s="27"/>
      <c r="X35" s="27"/>
    </row>
    <row r="36" ht="15.75" customHeight="1"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U36" s="27"/>
      <c r="V36" s="27"/>
      <c r="W36" s="27"/>
      <c r="X36" s="27"/>
    </row>
    <row r="37" ht="15.75" customHeight="1"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U37" s="27"/>
      <c r="V37" s="27"/>
      <c r="W37" s="27"/>
      <c r="X37" s="27"/>
    </row>
    <row r="38" ht="15.75" customHeight="1"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U38" s="27"/>
      <c r="V38" s="27"/>
      <c r="W38" s="27"/>
      <c r="X38" s="27"/>
    </row>
    <row r="39" ht="15.75" customHeight="1"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U39" s="27"/>
      <c r="V39" s="27"/>
      <c r="W39" s="27"/>
      <c r="X39" s="27"/>
    </row>
    <row r="40" ht="15.75" customHeight="1"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U40" s="27"/>
      <c r="V40" s="27"/>
      <c r="W40" s="27"/>
      <c r="X40" s="27"/>
    </row>
    <row r="41" ht="15.75" customHeight="1"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U41" s="27"/>
      <c r="V41" s="27"/>
      <c r="W41" s="27"/>
      <c r="X41" s="27"/>
    </row>
    <row r="42" ht="15.75" customHeight="1"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U42" s="27"/>
      <c r="V42" s="27"/>
      <c r="W42" s="27"/>
      <c r="X42" s="27"/>
    </row>
    <row r="43" ht="15.75" customHeight="1"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U43" s="27"/>
      <c r="V43" s="27"/>
      <c r="W43" s="27"/>
      <c r="X43" s="27"/>
    </row>
    <row r="44" ht="15.75" customHeight="1"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U44" s="27"/>
      <c r="V44" s="27"/>
      <c r="W44" s="27"/>
      <c r="X44" s="27"/>
    </row>
    <row r="45" ht="15.75" customHeight="1"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U45" s="27"/>
      <c r="V45" s="27"/>
      <c r="W45" s="27"/>
      <c r="X45" s="27"/>
    </row>
    <row r="46" ht="15.75" customHeight="1"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U46" s="27"/>
      <c r="V46" s="27"/>
      <c r="W46" s="27"/>
      <c r="X46" s="27"/>
    </row>
    <row r="47" ht="15.75" customHeight="1"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U47" s="27"/>
      <c r="V47" s="27"/>
      <c r="W47" s="27"/>
      <c r="X47" s="27"/>
    </row>
    <row r="48" ht="15.75" customHeight="1"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U48" s="27"/>
      <c r="V48" s="27"/>
      <c r="W48" s="27"/>
      <c r="X48" s="27"/>
    </row>
    <row r="49" ht="15.75" customHeight="1"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U49" s="27"/>
      <c r="V49" s="27"/>
      <c r="W49" s="27"/>
      <c r="X49" s="27"/>
    </row>
    <row r="50" ht="15.75" customHeight="1"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U50" s="27"/>
      <c r="V50" s="27"/>
      <c r="W50" s="27"/>
      <c r="X50" s="27"/>
    </row>
    <row r="51" ht="15.75" customHeight="1"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U51" s="27"/>
      <c r="V51" s="27"/>
      <c r="W51" s="27"/>
      <c r="X51" s="27"/>
    </row>
    <row r="52" ht="15.75" customHeight="1"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U52" s="27"/>
      <c r="V52" s="27"/>
      <c r="W52" s="27"/>
      <c r="X52" s="27"/>
    </row>
    <row r="53" ht="15.75" customHeight="1"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U53" s="27"/>
      <c r="V53" s="27"/>
      <c r="W53" s="27"/>
      <c r="X53" s="27"/>
    </row>
    <row r="54" ht="15.75" customHeight="1"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U54" s="27"/>
      <c r="V54" s="27"/>
      <c r="W54" s="27"/>
      <c r="X54" s="27"/>
    </row>
    <row r="55" ht="15.75" customHeight="1"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U55" s="27"/>
      <c r="V55" s="27"/>
      <c r="W55" s="27"/>
      <c r="X55" s="27"/>
    </row>
    <row r="56" ht="15.75" customHeight="1"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U56" s="27"/>
      <c r="V56" s="27"/>
      <c r="W56" s="27"/>
      <c r="X56" s="27"/>
    </row>
    <row r="57" ht="15.75" customHeight="1"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U57" s="27"/>
      <c r="V57" s="27"/>
      <c r="W57" s="27"/>
      <c r="X57" s="27"/>
    </row>
    <row r="58" ht="15.75" customHeight="1"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U58" s="27"/>
      <c r="V58" s="27"/>
      <c r="W58" s="27"/>
      <c r="X58" s="27"/>
    </row>
    <row r="59" ht="15.75" customHeight="1"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U59" s="27"/>
      <c r="V59" s="27"/>
      <c r="W59" s="27"/>
      <c r="X59" s="27"/>
    </row>
    <row r="60" ht="15.75" customHeight="1"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U60" s="27"/>
      <c r="V60" s="27"/>
      <c r="W60" s="27"/>
      <c r="X60" s="27"/>
    </row>
    <row r="61" ht="15.75" customHeight="1"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U61" s="27"/>
      <c r="V61" s="27"/>
      <c r="W61" s="27"/>
      <c r="X61" s="27"/>
    </row>
    <row r="62" ht="15.75" customHeight="1"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U62" s="27"/>
      <c r="V62" s="27"/>
      <c r="W62" s="27"/>
      <c r="X62" s="27"/>
    </row>
    <row r="63" ht="15.75" customHeight="1"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U63" s="27"/>
      <c r="V63" s="27"/>
      <c r="W63" s="27"/>
      <c r="X63" s="27"/>
    </row>
    <row r="64" ht="15.75" customHeight="1"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U64" s="27"/>
      <c r="V64" s="27"/>
      <c r="W64" s="27"/>
      <c r="X64" s="27"/>
    </row>
    <row r="65" ht="15.75" customHeight="1"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U65" s="27"/>
      <c r="V65" s="27"/>
      <c r="W65" s="27"/>
      <c r="X65" s="27"/>
    </row>
    <row r="66" ht="15.75" customHeight="1"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U66" s="27"/>
      <c r="V66" s="27"/>
      <c r="W66" s="27"/>
      <c r="X66" s="27"/>
    </row>
    <row r="67" ht="15.75" customHeight="1"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U67" s="27"/>
      <c r="V67" s="27"/>
      <c r="W67" s="27"/>
      <c r="X67" s="27"/>
    </row>
    <row r="68" ht="15.75" customHeight="1"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U68" s="27"/>
      <c r="V68" s="27"/>
      <c r="W68" s="27"/>
      <c r="X68" s="27"/>
    </row>
    <row r="69" ht="15.75" customHeight="1"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U69" s="27"/>
      <c r="V69" s="27"/>
      <c r="W69" s="27"/>
      <c r="X69" s="27"/>
    </row>
    <row r="70" ht="15.75" customHeight="1"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U70" s="27"/>
      <c r="V70" s="27"/>
      <c r="W70" s="27"/>
      <c r="X70" s="27"/>
    </row>
    <row r="71" ht="15.75" customHeight="1"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U71" s="27"/>
      <c r="V71" s="27"/>
      <c r="W71" s="27"/>
      <c r="X71" s="27"/>
    </row>
    <row r="72" ht="15.75" customHeight="1"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U72" s="27"/>
      <c r="V72" s="27"/>
      <c r="W72" s="27"/>
      <c r="X72" s="27"/>
    </row>
    <row r="73" ht="15.75" customHeight="1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U73" s="27"/>
      <c r="V73" s="27"/>
      <c r="W73" s="27"/>
      <c r="X73" s="27"/>
    </row>
    <row r="74" ht="15.75" customHeight="1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U74" s="27"/>
      <c r="V74" s="27"/>
      <c r="W74" s="27"/>
      <c r="X74" s="27"/>
    </row>
    <row r="75" ht="15.75" customHeight="1"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U75" s="27"/>
      <c r="V75" s="27"/>
      <c r="W75" s="27"/>
      <c r="X75" s="27"/>
    </row>
    <row r="76" ht="15.75" customHeight="1"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U76" s="27"/>
      <c r="V76" s="27"/>
      <c r="W76" s="27"/>
      <c r="X76" s="27"/>
    </row>
    <row r="77" ht="15.75" customHeight="1"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U77" s="27"/>
      <c r="V77" s="27"/>
      <c r="W77" s="27"/>
      <c r="X77" s="27"/>
    </row>
    <row r="78" ht="15.75" customHeight="1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U78" s="27"/>
      <c r="V78" s="27"/>
      <c r="W78" s="27"/>
      <c r="X78" s="27"/>
    </row>
    <row r="79" ht="15.75" customHeight="1"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U79" s="27"/>
      <c r="V79" s="27"/>
      <c r="W79" s="27"/>
      <c r="X79" s="27"/>
    </row>
    <row r="80" ht="15.75" customHeight="1"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U80" s="27"/>
      <c r="V80" s="27"/>
      <c r="W80" s="27"/>
      <c r="X80" s="27"/>
    </row>
    <row r="81" ht="15.75" customHeight="1"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U81" s="27"/>
      <c r="V81" s="27"/>
      <c r="W81" s="27"/>
      <c r="X81" s="27"/>
    </row>
    <row r="82" ht="15.75" customHeight="1"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U82" s="27"/>
      <c r="V82" s="27"/>
      <c r="W82" s="27"/>
      <c r="X82" s="27"/>
    </row>
    <row r="83" ht="15.75" customHeight="1"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U83" s="27"/>
      <c r="V83" s="27"/>
      <c r="W83" s="27"/>
      <c r="X83" s="27"/>
    </row>
    <row r="84" ht="15.75" customHeight="1"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U84" s="27"/>
      <c r="V84" s="27"/>
      <c r="W84" s="27"/>
      <c r="X84" s="27"/>
    </row>
    <row r="85" ht="15.75" customHeight="1"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U85" s="27"/>
      <c r="V85" s="27"/>
      <c r="W85" s="27"/>
      <c r="X85" s="27"/>
    </row>
    <row r="86" ht="15.75" customHeight="1"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U86" s="27"/>
      <c r="V86" s="27"/>
      <c r="W86" s="27"/>
      <c r="X86" s="27"/>
    </row>
    <row r="87" ht="15.75" customHeight="1"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U87" s="27"/>
      <c r="V87" s="27"/>
      <c r="W87" s="27"/>
      <c r="X87" s="27"/>
    </row>
    <row r="88" ht="15.75" customHeight="1"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U88" s="27"/>
      <c r="V88" s="27"/>
      <c r="W88" s="27"/>
      <c r="X88" s="27"/>
    </row>
    <row r="89" ht="15.75" customHeight="1"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U89" s="27"/>
      <c r="V89" s="27"/>
      <c r="W89" s="27"/>
      <c r="X89" s="27"/>
    </row>
    <row r="90" ht="15.75" customHeight="1"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U90" s="27"/>
      <c r="V90" s="27"/>
      <c r="W90" s="27"/>
      <c r="X90" s="27"/>
    </row>
    <row r="91" ht="15.75" customHeight="1"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U91" s="27"/>
      <c r="V91" s="27"/>
      <c r="W91" s="27"/>
      <c r="X91" s="27"/>
    </row>
    <row r="92" ht="15.75" customHeight="1"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U92" s="27"/>
      <c r="V92" s="27"/>
      <c r="W92" s="27"/>
      <c r="X92" s="27"/>
    </row>
    <row r="93" ht="15.75" customHeight="1"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U93" s="27"/>
      <c r="V93" s="27"/>
      <c r="W93" s="27"/>
      <c r="X93" s="27"/>
    </row>
    <row r="94" ht="15.75" customHeight="1"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U94" s="27"/>
      <c r="V94" s="27"/>
      <c r="W94" s="27"/>
      <c r="X94" s="27"/>
    </row>
    <row r="95" ht="15.75" customHeight="1"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U95" s="27"/>
      <c r="V95" s="27"/>
      <c r="W95" s="27"/>
      <c r="X95" s="27"/>
    </row>
    <row r="96" ht="15.75" customHeight="1"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U96" s="27"/>
      <c r="V96" s="27"/>
      <c r="W96" s="27"/>
      <c r="X96" s="27"/>
    </row>
    <row r="97" ht="15.75" customHeight="1"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U97" s="27"/>
      <c r="V97" s="27"/>
      <c r="W97" s="27"/>
      <c r="X97" s="27"/>
    </row>
    <row r="98" ht="15.75" customHeight="1"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U98" s="27"/>
      <c r="V98" s="27"/>
      <c r="W98" s="27"/>
      <c r="X98" s="27"/>
    </row>
    <row r="99" ht="15.75" customHeight="1"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U99" s="27"/>
      <c r="V99" s="27"/>
      <c r="W99" s="27"/>
      <c r="X99" s="27"/>
    </row>
    <row r="100" ht="15.75" customHeight="1"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U100" s="27"/>
      <c r="V100" s="27"/>
      <c r="W100" s="27"/>
      <c r="X100" s="27"/>
    </row>
  </sheetData>
  <mergeCells count="20">
    <mergeCell ref="B16:C16"/>
    <mergeCell ref="D16:E16"/>
    <mergeCell ref="J18:P18"/>
    <mergeCell ref="B3:B4"/>
    <mergeCell ref="B1:L1"/>
    <mergeCell ref="B14:L14"/>
    <mergeCell ref="C3:C4"/>
    <mergeCell ref="D3:D4"/>
    <mergeCell ref="I3:J3"/>
    <mergeCell ref="D17:D18"/>
    <mergeCell ref="H3:H4"/>
    <mergeCell ref="Q3:Y3"/>
    <mergeCell ref="L3:P3"/>
    <mergeCell ref="E3:E4"/>
    <mergeCell ref="G3:G4"/>
    <mergeCell ref="R4:S4"/>
    <mergeCell ref="T4:U4"/>
    <mergeCell ref="V4:W4"/>
    <mergeCell ref="X4:Y4"/>
    <mergeCell ref="F3:F4"/>
  </mergeCells>
  <printOptions/>
  <pageMargins bottom="0.787401575" footer="0.0" header="0.0" left="0.511811024" right="0.511811024" top="0.787401575"/>
  <pageSetup orientation="portrait"/>
  <headerFooter>
    <oddFooter>&amp;C_x000D_#000000 (  X  ) Público    (   ) Interno  (   ) Setorial  (  ) Confidencial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Planilhas</vt:lpstr>
      </vt:variant>
      <vt:variant>
        <vt:i4>2</vt:i4>
      </vt:variant>
    </vt:vector>
  </HeadingPairs>
  <TitlesOfParts>
    <vt:vector baseType="lpstr" size="2">
      <vt:lpstr>A1 e A2</vt:lpstr>
      <vt:lpstr>A1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2024-04-18T17:56:56Z</dcterms:created>
  <dc:creator>Carlos Eduardo Guerra de Mendonça</dc:creator>
  <cp:lastModifiedBy>Jayme Rodrigues</cp:lastModifiedBy>
  <dcterms:modified xsi:type="dcterms:W3CDTF">2025-10-28T18:43:58Z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d11e7a-42f1-426f-87de-cb83ce0725cd_Enabled">
    <vt:lpwstr>true</vt:lpwstr>
  </property>
  <property fmtid="{D5CDD505-2E9C-101B-9397-08002B2CF9AE}" pid="3" name="MSIP_Label_23d11e7a-42f1-426f-87de-cb83ce0725cd_SetDate">
    <vt:lpwstr>2024-04-18T19:50:15Z</vt:lpwstr>
  </property>
  <property fmtid="{D5CDD505-2E9C-101B-9397-08002B2CF9AE}" pid="4" name="MSIP_Label_23d11e7a-42f1-426f-87de-cb83ce0725cd_Method">
    <vt:lpwstr>Privileged</vt:lpwstr>
  </property>
  <property fmtid="{D5CDD505-2E9C-101B-9397-08002B2CF9AE}" pid="5" name="MSIP_Label_23d11e7a-42f1-426f-87de-cb83ce0725cd_Name">
    <vt:lpwstr>Publico</vt:lpwstr>
  </property>
  <property fmtid="{D5CDD505-2E9C-101B-9397-08002B2CF9AE}" pid="6" name="MSIP_Label_23d11e7a-42f1-426f-87de-cb83ce0725cd_SiteId">
    <vt:lpwstr>0ad73864-486f-4f58-a5da-a44c51bf5c9b</vt:lpwstr>
  </property>
  <property fmtid="{D5CDD505-2E9C-101B-9397-08002B2CF9AE}" pid="7" name="MSIP_Label_23d11e7a-42f1-426f-87de-cb83ce0725cd_ActionId">
    <vt:lpwstr>b69c8004-7805-418a-9558-08d1e78caa6f</vt:lpwstr>
  </property>
  <property fmtid="{D5CDD505-2E9C-101B-9397-08002B2CF9AE}" pid="8" name="MSIP_Label_23d11e7a-42f1-426f-87de-cb83ce0725cd_ContentBits">
    <vt:lpwstr>2</vt:lpwstr>
  </property>
</Properties>
</file>